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8-Week Planner" sheetId="2" state="visible" r:id="rId4"/>
    <sheet name="Locked Scope" sheetId="3" state="visible" r:id="rId5"/>
    <sheet name="Capstone" sheetId="4" state="visible" r:id="rId6"/>
    <sheet name="Re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<sst xmlns="http://schemas.openxmlformats.org/spreadsheetml/2006/main" count="634" uniqueCount="474">
  <si>
    <t xml:space="preserve">AML ANALYST + ANALYTICS  |  8-WEEK PLANNER DASHBOARD</t>
  </si>
  <si>
    <t xml:space="preserve">Programme Status</t>
  </si>
  <si>
    <t xml:space="preserve">Proposed</t>
  </si>
  <si>
    <t xml:space="preserve">Week</t>
  </si>
  <si>
    <t xml:space="preserve">Theme</t>
  </si>
  <si>
    <t xml:space="preserve">Tasks</t>
  </si>
  <si>
    <t xml:space="preserve">Complete</t>
  </si>
  <si>
    <t xml:space="preserve">Week %</t>
  </si>
  <si>
    <t xml:space="preserve">Start Date</t>
  </si>
  <si>
    <t xml:space="preserve">AML Foundations + Ireland/EU</t>
  </si>
  <si>
    <t xml:space="preserve">Overall Completion</t>
  </si>
  <si>
    <t xml:space="preserve">KYC / CDD / EDD + Screening</t>
  </si>
  <si>
    <t xml:space="preserve">Tasks Complete</t>
  </si>
  <si>
    <t xml:space="preserve">Transaction Monitoring + Core Typologies</t>
  </si>
  <si>
    <t xml:space="preserve">Total Tasks</t>
  </si>
  <si>
    <t xml:space="preserve">Advanced Typologies + Python</t>
  </si>
  <si>
    <t xml:space="preserve">Investigations + Case Narratives</t>
  </si>
  <si>
    <t xml:space="preserve">Quick Inputs</t>
  </si>
  <si>
    <t xml:space="preserve">Tailor these to your setup</t>
  </si>
  <si>
    <t xml:space="preserve">Network &amp; Entity Analytics</t>
  </si>
  <si>
    <t xml:space="preserve">Weekly Study Hours</t>
  </si>
  <si>
    <t xml:space="preserve">Detection Analytics, ML Evaluation &amp; Model Validation</t>
  </si>
  <si>
    <t xml:space="preserve">Primary SQL Tool</t>
  </si>
  <si>
    <t xml:space="preserve">PostgreSQL / DuckDB</t>
  </si>
  <si>
    <t xml:space="preserve">Ireland Workflow, Capstone &amp; Positioning</t>
  </si>
  <si>
    <t xml:space="preserve">Primary Python Tool</t>
  </si>
  <si>
    <t xml:space="preserve">Jupyter / VS Code</t>
  </si>
  <si>
    <t xml:space="preserve">BI Tool</t>
  </si>
  <si>
    <t xml:space="preserve">Power BI</t>
  </si>
  <si>
    <t xml:space="preserve">Portfolio</t>
  </si>
  <si>
    <t xml:space="preserve">Git / GitHub</t>
  </si>
  <si>
    <t xml:space="preserve">Locked outcome: practical AML readiness + demonstrable SQL, Python and graph evidence, not theory-only study.</t>
  </si>
  <si>
    <t xml:space="preserve">8-WEEK AML ANALYST + CODING INTERACTIVE PLANNER</t>
  </si>
  <si>
    <t xml:space="preserve">Programme remains PROPOSED until you set the status on the Dashboard. All six scope areas are locked. Rows shaded orange are additions on top of the base plan.</t>
  </si>
  <si>
    <t xml:space="preserve">Task / Topic</t>
  </si>
  <si>
    <t xml:space="preserve">What You Learn</t>
  </si>
  <si>
    <t xml:space="preserve">AML / Investigation Focus</t>
  </si>
  <si>
    <t xml:space="preserve">Coding / Technical Focus</t>
  </si>
  <si>
    <t xml:space="preserve">Practical Exercise</t>
  </si>
  <si>
    <t xml:space="preserve">Tool(s)</t>
  </si>
  <si>
    <t xml:space="preserve">Complementary Content</t>
  </si>
  <si>
    <t xml:space="preserve">Evidence / Deliverable</t>
  </si>
  <si>
    <t xml:space="preserve">Priority</t>
  </si>
  <si>
    <t xml:space="preserve">Status</t>
  </si>
  <si>
    <t xml:space="preserve">Confidence (1-5)</t>
  </si>
  <si>
    <t xml:space="preserve">Planned Hrs</t>
  </si>
  <si>
    <t xml:space="preserve">Actual Hrs</t>
  </si>
  <si>
    <t xml:space="preserve">Due Date</t>
  </si>
  <si>
    <t xml:space="preserve">% Complete</t>
  </si>
  <si>
    <t xml:space="preserve">Notes</t>
  </si>
  <si>
    <t xml:space="preserve">AML lifecycle &amp; risk-based approach</t>
  </si>
  <si>
    <t xml:space="preserve">Placement, layering, integration; why risk-based monitoring exists</t>
  </si>
  <si>
    <t xml:space="preserve">Recognise the laundering lifecycle and core red flags</t>
  </si>
  <si>
    <t xml:space="preserve">SQL refresh: SELECT, WHERE, GROUP BY, HAVING</t>
  </si>
  <si>
    <t xml:space="preserve">Profile a synthetic transaction table and isolate unusual transaction groups</t>
  </si>
  <si>
    <t xml:space="preserve">PostgreSQL/DuckDB; VS Code/Jupyter</t>
  </si>
  <si>
    <t xml:space="preserve">Short Ireland/EU AML orientation + worked examples</t>
  </si>
  <si>
    <t xml:space="preserve">SQL notebook: baseline transaction profiling</t>
  </si>
  <si>
    <t xml:space="preserve">High</t>
  </si>
  <si>
    <t xml:space="preserve">Not Started</t>
  </si>
  <si>
    <t xml:space="preserve">Structuring &amp; threshold behaviour</t>
  </si>
  <si>
    <t xml:space="preserve">How structuring/smurfing avoids controls and how patterns emerge over time</t>
  </si>
  <si>
    <t xml:space="preserve">Repeated values below thresholds; multiple transactions; time clustering</t>
  </si>
  <si>
    <t xml:space="preserve">Date functions, aggregations, HAVING, basic rolling logic</t>
  </si>
  <si>
    <t xml:space="preserve">Detect repeated sub-threshold activity across customer/date windows</t>
  </si>
  <si>
    <t xml:space="preserve">SQL</t>
  </si>
  <si>
    <t xml:space="preserve">Typology walkthrough: structuring examples</t>
  </si>
  <si>
    <t xml:space="preserve">Detection query + explanation of false positives</t>
  </si>
  <si>
    <t xml:space="preserve">Mule account activity</t>
  </si>
  <si>
    <t xml:space="preserve">Mule behaviour, pass-through activity and rapid onward movement</t>
  </si>
  <si>
    <t xml:space="preserve">Incoming funds followed by rapid dispersal</t>
  </si>
  <si>
    <t xml:space="preserve">Joins + time-difference logic</t>
  </si>
  <si>
    <t xml:space="preserve">Identify candidate mule accounts in a synthetic payments dataset</t>
  </si>
  <si>
    <t xml:space="preserve">Mule-account case examples</t>
  </si>
  <si>
    <t xml:space="preserve">Mule detection query + short analyst note</t>
  </si>
  <si>
    <t xml:space="preserve">Irish/EU AML operating model</t>
  </si>
  <si>
    <t xml:space="preserve">Irish obligations, CBI context, FIU Ireland, Revenue, STR concept, AMLA overview</t>
  </si>
  <si>
    <t xml:space="preserve">Understand where an analyst sits in the reporting chain</t>
  </si>
  <si>
    <t xml:space="preserve">No heavy coding; map fields/evidence needed for reporting</t>
  </si>
  <si>
    <t xml:space="preserve">Draw the alert to investigation to escalation to STR workflow</t>
  </si>
  <si>
    <t xml:space="preserve">Excel/PowerPoint optional</t>
  </si>
  <si>
    <t xml:space="preserve">Ireland-first regulator/FIU material</t>
  </si>
  <si>
    <t xml:space="preserve">1-page Irish AML workflow map</t>
  </si>
  <si>
    <t xml:space="preserve">Medium</t>
  </si>
  <si>
    <t xml:space="preserve">KYC &amp; customer risk profile</t>
  </si>
  <si>
    <t xml:space="preserve">Identity, ownership, expected activity, risk factors and customer segmentation</t>
  </si>
  <si>
    <t xml:space="preserve">Compare actual behaviour with expected profile</t>
  </si>
  <si>
    <t xml:space="preserve">SQL JOINs; CASE; CTEs</t>
  </si>
  <si>
    <t xml:space="preserve">Join customer/KYC data to transaction behaviour and flag profile mismatches</t>
  </si>
  <si>
    <t xml:space="preserve">CDD/EDD worked examples</t>
  </si>
  <si>
    <t xml:space="preserve">Customer-risk query + exception list</t>
  </si>
  <si>
    <t xml:space="preserve">CDD vs EDD &amp; risk scoring</t>
  </si>
  <si>
    <t xml:space="preserve">When enhanced review is warranted; source of funds/wealth; ownership</t>
  </si>
  <si>
    <t xml:space="preserve">Escalation triggers and evidence gaps</t>
  </si>
  <si>
    <t xml:space="preserve">CTEs + reusable risk flags</t>
  </si>
  <si>
    <t xml:space="preserve">Build a risk scoring query using customer + transaction indicators</t>
  </si>
  <si>
    <t xml:space="preserve">EDD case narrative example</t>
  </si>
  <si>
    <t xml:space="preserve">CDD/EDD decision matrix</t>
  </si>
  <si>
    <t xml:space="preserve">Sanctions / PEP screening</t>
  </si>
  <si>
    <t xml:space="preserve">PEP, sanctions, screening alerts, false matches, adverse context</t>
  </si>
  <si>
    <t xml:space="preserve">Screening alert review and disposition</t>
  </si>
  <si>
    <t xml:space="preserve">String cleaning + fuzzy matching concept</t>
  </si>
  <si>
    <t xml:space="preserve">Create mock names and test exact/near-match screening logic</t>
  </si>
  <si>
    <t xml:space="preserve">SQL/Python; rapidfuzz</t>
  </si>
  <si>
    <t xml:space="preserve">EU/Ireland sanctions/PEP screening material</t>
  </si>
  <si>
    <t xml:space="preserve">Screening result table + analyst rationale</t>
  </si>
  <si>
    <t xml:space="preserve">Transaction monitoring architecture</t>
  </si>
  <si>
    <t xml:space="preserve">Ingestion -&gt; scenario/rule -&gt; threshold -&gt; alert -&gt; case -&gt; disposition -&gt; tuning</t>
  </si>
  <si>
    <t xml:space="preserve">How alerts are generated and prioritised</t>
  </si>
  <si>
    <t xml:space="preserve">SQL scenario query design</t>
  </si>
  <si>
    <t xml:space="preserve">Implement 2-3 monitoring scenarios against synthetic data</t>
  </si>
  <si>
    <t xml:space="preserve">SQL; GitHub</t>
  </si>
  <si>
    <t xml:space="preserve">TM system workflow explainer</t>
  </si>
  <si>
    <t xml:space="preserve">Mini transaction-monitoring rules repo</t>
  </si>
  <si>
    <t xml:space="preserve">Layering &amp; rapid movement</t>
  </si>
  <si>
    <t xml:space="preserve">Multi-step fund movement designed to obscure origin</t>
  </si>
  <si>
    <t xml:space="preserve">Rapid movement, multiple hops, unusual destinations</t>
  </si>
  <si>
    <t xml:space="preserve">Window functions; LAG/LEAD; time intervals</t>
  </si>
  <si>
    <t xml:space="preserve">Detect quick in-and-out movement and multi-hop patterns</t>
  </si>
  <si>
    <t xml:space="preserve">Layering case walkthrough</t>
  </si>
  <si>
    <t xml:space="preserve">Layering detection queries</t>
  </si>
  <si>
    <t xml:space="preserve">Funnel accounts &amp; velocity</t>
  </si>
  <si>
    <t xml:space="preserve">Many distributed deposits converging on an account; high activity bursts</t>
  </si>
  <si>
    <t xml:space="preserve">Geographic/transaction concentration and velocity</t>
  </si>
  <si>
    <t xml:space="preserve">PARTITION BY; rolling COUNT/SUM; velocity checks</t>
  </si>
  <si>
    <t xml:space="preserve">Build rolling 1h/24h activity metrics and flag funnel-like behaviour</t>
  </si>
  <si>
    <t xml:space="preserve">Funnel-account examples</t>
  </si>
  <si>
    <t xml:space="preserve">Velocity query + alert explanation</t>
  </si>
  <si>
    <t xml:space="preserve">False positives &amp; threshold logic</t>
  </si>
  <si>
    <t xml:space="preserve">Why rules over-alert and how analysts judge quality</t>
  </si>
  <si>
    <t xml:space="preserve">Alert quality, customer context, false-positive drivers</t>
  </si>
  <si>
    <t xml:space="preserve">Threshold parameterisation in SQL</t>
  </si>
  <si>
    <t xml:space="preserve">Vary thresholds and measure alert counts</t>
  </si>
  <si>
    <t xml:space="preserve">Scenario-tuning explainer</t>
  </si>
  <si>
    <t xml:space="preserve">Threshold comparison table</t>
  </si>
  <si>
    <t xml:space="preserve">Trade-Based Money Laundering (TBML)</t>
  </si>
  <si>
    <t xml:space="preserve">Trade/payment anomalies; invoice/value inconsistencies; counterparties</t>
  </si>
  <si>
    <t xml:space="preserve">Mismatch and unusual trade relationships</t>
  </si>
  <si>
    <t xml:space="preserve">SQL reconciliation / outlier checks</t>
  </si>
  <si>
    <t xml:space="preserve">Flag synthetic trade-payment mismatches and unusual counterparties</t>
  </si>
  <si>
    <t xml:space="preserve">TBML practical explainer</t>
  </si>
  <si>
    <t xml:space="preserve">TBML exceptions report</t>
  </si>
  <si>
    <t xml:space="preserve">Wallet / crypto layering</t>
  </si>
  <si>
    <t xml:space="preserve">Wallet movement, chain-hopping concepts, mixers/tumbling risk signals</t>
  </si>
  <si>
    <t xml:space="preserve">Crypto-specific transaction-flow red flags</t>
  </si>
  <si>
    <t xml:space="preserve">Python/pandas aggregation and wallet-flow analysis</t>
  </si>
  <si>
    <t xml:space="preserve">Analyse a mock wallet transfer dataset</t>
  </si>
  <si>
    <t xml:space="preserve">Python; pandas</t>
  </si>
  <si>
    <t xml:space="preserve">EU/Ireland crypto AML overview</t>
  </si>
  <si>
    <t xml:space="preserve">Wallet-risk notebook</t>
  </si>
  <si>
    <t xml:space="preserve">Python/pandas foundations for AML</t>
  </si>
  <si>
    <t xml:space="preserve">DataFrames, filtering, grouping, merging, dates</t>
  </si>
  <si>
    <t xml:space="preserve">Recreate SQL-style AML analysis in Python</t>
  </si>
  <si>
    <t xml:space="preserve">pandas; NumPy basics</t>
  </si>
  <si>
    <t xml:space="preserve">Reimplement Week 3 detections in pandas</t>
  </si>
  <si>
    <t xml:space="preserve">Python; Jupyter/VS Code</t>
  </si>
  <si>
    <t xml:space="preserve">pandas transaction-analysis tutorial</t>
  </si>
  <si>
    <t xml:space="preserve">Python AML notebook v1</t>
  </si>
  <si>
    <t xml:space="preserve">Detection parity check (SQL vs Python)</t>
  </si>
  <si>
    <t xml:space="preserve">Confirm your Python detections reproduce your SQL outputs</t>
  </si>
  <si>
    <t xml:space="preserve">Reconcile results and understand any discrepancies</t>
  </si>
  <si>
    <t xml:space="preserve">pandas validation; assertions</t>
  </si>
  <si>
    <t xml:space="preserve">Compare Python and SQL detection outputs on the same data</t>
  </si>
  <si>
    <t xml:space="preserve">Python</t>
  </si>
  <si>
    <t xml:space="preserve">None; execution</t>
  </si>
  <si>
    <t xml:space="preserve">Parity check notebook</t>
  </si>
  <si>
    <t xml:space="preserve">Alert triage</t>
  </si>
  <si>
    <t xml:space="preserve">Prioritise alerts and identify evidence required</t>
  </si>
  <si>
    <t xml:space="preserve">Initial review, severity, disposition choices</t>
  </si>
  <si>
    <t xml:space="preserve">Python filters; timeline construction</t>
  </si>
  <si>
    <t xml:space="preserve">Triage a batch of alerts and rank by risk</t>
  </si>
  <si>
    <t xml:space="preserve">Python; Excel</t>
  </si>
  <si>
    <t xml:space="preserve">Analyst triage walkthrough</t>
  </si>
  <si>
    <t xml:space="preserve">Alert triage worksheet</t>
  </si>
  <si>
    <t xml:space="preserve">Customer-profile comparison</t>
  </si>
  <si>
    <t xml:space="preserve">Expected vs actual customer behaviour</t>
  </si>
  <si>
    <t xml:space="preserve">Transaction context, source/destination and customer purpose</t>
  </si>
  <si>
    <t xml:space="preserve">pandas merge/groupby</t>
  </si>
  <si>
    <t xml:space="preserve">Build customer timelines and compare behaviour to profile</t>
  </si>
  <si>
    <t xml:space="preserve">Investigation case study</t>
  </si>
  <si>
    <t xml:space="preserve">Customer behaviour analysis notebook</t>
  </si>
  <si>
    <t xml:space="preserve">Source / destination of funds</t>
  </si>
  <si>
    <t xml:space="preserve">Follow money flows and identify counterparties/linked risk</t>
  </si>
  <si>
    <t xml:space="preserve">Flow-of-funds reasoning</t>
  </si>
  <si>
    <t xml:space="preserve">Python aggregation; relationship tables</t>
  </si>
  <si>
    <t xml:space="preserve">Trace movement of funds across accounts</t>
  </si>
  <si>
    <t xml:space="preserve">Funds-flow worked example</t>
  </si>
  <si>
    <t xml:space="preserve">Funds-flow timeline + findings</t>
  </si>
  <si>
    <t xml:space="preserve">Case narrative &amp; escalation</t>
  </si>
  <si>
    <t xml:space="preserve">Write concise, evidence-based investigation narratives</t>
  </si>
  <si>
    <t xml:space="preserve">False positive vs credible suspicion; escalation rationale</t>
  </si>
  <si>
    <t xml:space="preserve">Export evidence summaries from SQL/Python</t>
  </si>
  <si>
    <t xml:space="preserve">Write a complete case narrative from a generated alert</t>
  </si>
  <si>
    <t xml:space="preserve">Word/Excel optional</t>
  </si>
  <si>
    <t xml:space="preserve">Ireland STR narrative examples where available</t>
  </si>
  <si>
    <t xml:space="preserve">Portfolio-ready investigation report</t>
  </si>
  <si>
    <t xml:space="preserve">Transaction network graphs</t>
  </si>
  <si>
    <t xml:space="preserve">Model accounts as nodes and transfers as edges; why graphs catch what row-by-row rules miss</t>
  </si>
  <si>
    <t xml:space="preserve">See laundering as network structure, not single transactions</t>
  </si>
  <si>
    <t xml:space="preserve">NetworkX: build a directed graph from the transaction table</t>
  </si>
  <si>
    <t xml:space="preserve">Construct a transaction graph from synthetic payments data</t>
  </si>
  <si>
    <t xml:space="preserve">Python; NetworkX</t>
  </si>
  <si>
    <t xml:space="preserve">Graph-analytics for AML explainer</t>
  </si>
  <si>
    <t xml:space="preserve">Transaction graph notebook</t>
  </si>
  <si>
    <t xml:space="preserve">Circular flows &amp; laundering rings</t>
  </si>
  <si>
    <t xml:space="preserve">Funds returning to origin through linked entities/accounts</t>
  </si>
  <si>
    <t xml:space="preserve">Circular flows and connected parties</t>
  </si>
  <si>
    <t xml:space="preserve">Cycle and simple-path detection (A-&gt;B-&gt;C-&gt;A)</t>
  </si>
  <si>
    <t xml:space="preserve">Detect circular and multi-hop return patterns on the graph</t>
  </si>
  <si>
    <t xml:space="preserve">Circular-flow example</t>
  </si>
  <si>
    <t xml:space="preserve">Circular transaction detector</t>
  </si>
  <si>
    <t xml:space="preserve">Beneficial ownership &amp; shell-company networks</t>
  </si>
  <si>
    <t xml:space="preserve">Ownership structures, nominee/director patterns, connected entities</t>
  </si>
  <si>
    <t xml:space="preserve">Shell-company indicators and unexplained connected entities</t>
  </si>
  <si>
    <t xml:space="preserve">Entity resolution; multi-source linking on the graph</t>
  </si>
  <si>
    <t xml:space="preserve">Link customers, companies and transactions to surface suspicious structures</t>
  </si>
  <si>
    <t xml:space="preserve">Beneficial ownership case examples</t>
  </si>
  <si>
    <t xml:space="preserve">Entity-link graph + relationship map</t>
  </si>
  <si>
    <t xml:space="preserve">Network visualisation &amp; interpretation</t>
  </si>
  <si>
    <t xml:space="preserve">Turn a graph into something a reviewer can read and act on</t>
  </si>
  <si>
    <t xml:space="preserve">Communicate network findings to non-technical stakeholders</t>
  </si>
  <si>
    <t xml:space="preserve">pyvis interactive visualisation</t>
  </si>
  <si>
    <t xml:space="preserve">Visualise a detected ring and write an analyst interpretation</t>
  </si>
  <si>
    <t xml:space="preserve">Python; pyvis</t>
  </si>
  <si>
    <t xml:space="preserve">Network visualisation examples</t>
  </si>
  <si>
    <t xml:space="preserve">Interactive network visualisation + note</t>
  </si>
  <si>
    <t xml:space="preserve">Python scenario engine</t>
  </si>
  <si>
    <t xml:space="preserve">Translate monitoring rules into reusable, configurable functions</t>
  </si>
  <si>
    <t xml:space="preserve">Rule/scenario logic and alert scoring</t>
  </si>
  <si>
    <t xml:space="preserve">Functions; pandas; configurable thresholds</t>
  </si>
  <si>
    <t xml:space="preserve">Build a mini transaction-monitoring engine</t>
  </si>
  <si>
    <t xml:space="preserve">Detection-engineering style tutorial</t>
  </si>
  <si>
    <t xml:space="preserve">TM engine repo v1</t>
  </si>
  <si>
    <t xml:space="preserve">Threshold tuning &amp; false-positive analysis</t>
  </si>
  <si>
    <t xml:space="preserve">Sensitivity trade-offs; alert volume vs risk capture; why alerts fire wrongly</t>
  </si>
  <si>
    <t xml:space="preserve">Alert quality, customer segments, rule interactions</t>
  </si>
  <si>
    <t xml:space="preserve">Parameter sweeps; FP rate; confusion-matrix inputs</t>
  </si>
  <si>
    <t xml:space="preserve">Run threshold experiments and analyse false positives</t>
  </si>
  <si>
    <t xml:space="preserve">Threshold optimisation + FP reduction case study</t>
  </si>
  <si>
    <t xml:space="preserve">Threshold tuning + FP analysis report</t>
  </si>
  <si>
    <t xml:space="preserve">Anomaly detection</t>
  </si>
  <si>
    <t xml:space="preserve">Where unsupervised methods complement rules, and their limits</t>
  </si>
  <si>
    <t xml:space="preserve">Outliers vs genuinely suspicious activity</t>
  </si>
  <si>
    <t xml:space="preserve">Isolation Forest or comparable method</t>
  </si>
  <si>
    <t xml:space="preserve">Run anomaly detection on synthetic transactions</t>
  </si>
  <si>
    <t xml:space="preserve">Python; scikit-learn</t>
  </si>
  <si>
    <t xml:space="preserve">AML anomaly-detection tutorial</t>
  </si>
  <si>
    <t xml:space="preserve">Anomaly detection notebook</t>
  </si>
  <si>
    <t xml:space="preserve">Classification &amp; model evaluation</t>
  </si>
  <si>
    <t xml:space="preserve">Precision, recall, F1, ROC-AUC, class imbalance</t>
  </si>
  <si>
    <t xml:space="preserve">Why false negatives and false positives matter differently</t>
  </si>
  <si>
    <t xml:space="preserve">scikit-learn metrics; train/test split</t>
  </si>
  <si>
    <t xml:space="preserve">Evaluate a simple labelled-risk model end to end</t>
  </si>
  <si>
    <t xml:space="preserve">Model evaluation tutorial</t>
  </si>
  <si>
    <t xml:space="preserve">Model evaluation scorecard</t>
  </si>
  <si>
    <t xml:space="preserve">Model limitations, explainability &amp; validation</t>
  </si>
  <si>
    <t xml:space="preserve">Leakage, drift, bias, overfitting, explainability; can an analyst defend the output?</t>
  </si>
  <si>
    <t xml:space="preserve">The independent-review mindset that defines model validation</t>
  </si>
  <si>
    <t xml:space="preserve">Feature importance / SHAP concepts; documented assumptions</t>
  </si>
  <si>
    <t xml:space="preserve">Write a model limitations and validation memo</t>
  </si>
  <si>
    <t xml:space="preserve">Model-risk / validation explainer (EU/ECB framing)</t>
  </si>
  <si>
    <t xml:space="preserve">Model limitations &amp; validation memo</t>
  </si>
  <si>
    <t xml:space="preserve">FIU Ireland / STR / goAML workflow</t>
  </si>
  <si>
    <t xml:space="preserve">Irish escalation and reporting process; goAML; Revenue reporting context</t>
  </si>
  <si>
    <t xml:space="preserve">When and how suspicion is escalated/reported</t>
  </si>
  <si>
    <t xml:space="preserve">Evidence packaging and audit trail</t>
  </si>
  <si>
    <t xml:space="preserve">Map the investigation evidence into an STR-style workflow</t>
  </si>
  <si>
    <t xml:space="preserve">goAML concepts; Excel/Word</t>
  </si>
  <si>
    <t xml:space="preserve">Law Society/FIU Ireland/Revenue STR training</t>
  </si>
  <si>
    <t xml:space="preserve">Irish STR workflow checklist</t>
  </si>
  <si>
    <t xml:space="preserve">Power BI AML MI dashboard</t>
  </si>
  <si>
    <t xml:space="preserve">Operational monitoring: volumes, alerts, dispositions, typologies, FP rates</t>
  </si>
  <si>
    <t xml:space="preserve">Management information and control effectiveness</t>
  </si>
  <si>
    <t xml:space="preserve">Prepare clean analytical tables for BI</t>
  </si>
  <si>
    <t xml:space="preserve">Build an AML dashboard from your own generated alert data</t>
  </si>
  <si>
    <t xml:space="preserve">AML MI/dashboard examples</t>
  </si>
  <si>
    <t xml:space="preserve">Interactive AML dashboard</t>
  </si>
  <si>
    <t xml:space="preserve">Capstone: integrated detection &amp; investigation run</t>
  </si>
  <si>
    <t xml:space="preserve">Apply SQL, Python and graph analysis across unfamiliar data</t>
  </si>
  <si>
    <t xml:space="preserve">Detect multiple typologies and investigate top alerts</t>
  </si>
  <si>
    <t xml:space="preserve">Advanced SQL + Python + NetworkX pipeline</t>
  </si>
  <si>
    <t xml:space="preserve">Run the full detection suite against capstone data (see Capstone tab)</t>
  </si>
  <si>
    <t xml:space="preserve">SQL; Python; Git</t>
  </si>
  <si>
    <t xml:space="preserve">No new theory; execution</t>
  </si>
  <si>
    <t xml:space="preserve">Capstone detection outputs + case file</t>
  </si>
  <si>
    <t xml:space="preserve">Portfolio consolidation &amp; defence</t>
  </si>
  <si>
    <t xml:space="preserve">Package code, reports, dashboard and narratives into one clean repo</t>
  </si>
  <si>
    <t xml:space="preserve">Interview-ready AML analytics story</t>
  </si>
  <si>
    <t xml:space="preserve">GitHub structure; README; reproducibility</t>
  </si>
  <si>
    <t xml:space="preserve">Assemble the portfolio and prepare to defend it</t>
  </si>
  <si>
    <t xml:space="preserve">GitHub</t>
  </si>
  <si>
    <t xml:space="preserve">Mock interview questions / self-review</t>
  </si>
  <si>
    <t xml:space="preserve">Complete AML analytics capstone portfolio</t>
  </si>
  <si>
    <t xml:space="preserve">Positioning &amp; job conversion</t>
  </si>
  <si>
    <t xml:space="preserve">Convert the portfolio into applications</t>
  </si>
  <si>
    <t xml:space="preserve">Frame yourself as a Financial Crime / AML detection analyst</t>
  </si>
  <si>
    <t xml:space="preserve">Tailor CV and LinkedIn to the evidence; map roles</t>
  </si>
  <si>
    <t xml:space="preserve">Rewrite CV/LinkedIn, build a Dublin target-role list, start applying</t>
  </si>
  <si>
    <t xml:space="preserve">LinkedIn; job boards</t>
  </si>
  <si>
    <t xml:space="preserve">ACAMS / Compliance Institute (ACOI) optional</t>
  </si>
  <si>
    <t xml:space="preserve">Revised CV, target-role list, applications out</t>
  </si>
  <si>
    <t xml:space="preserve">LOCKED AML ANALYST + ANALYTICS PROGRAMME SCOPE</t>
  </si>
  <si>
    <t xml:space="preserve">ID</t>
  </si>
  <si>
    <t xml:space="preserve">Mandatory Area</t>
  </si>
  <si>
    <t xml:space="preserve">Locked Coverage</t>
  </si>
  <si>
    <t xml:space="preserve">Coding / Technical Link</t>
  </si>
  <si>
    <t xml:space="preserve">AML fundamentals and typologies</t>
  </si>
  <si>
    <t xml:space="preserve">Structuring; layering; mule account activity; funnel accounts; circular transactions; shell company activity; TBML; wallet/crypto layering</t>
  </si>
  <si>
    <t xml:space="preserve">SQL pattern detection; rolling windows; linked-account logic; Python and graph (NetworkX) analysis</t>
  </si>
  <si>
    <t xml:space="preserve">LOCKED</t>
  </si>
  <si>
    <t xml:space="preserve">Cannot be removed unless explicitly reopened. Network typologies now built out in Week 6.</t>
  </si>
  <si>
    <t xml:space="preserve">Transaction monitoring and investigations</t>
  </si>
  <si>
    <t xml:space="preserve">Alert triage; customer-profile comparison; source/destination of funds; false positives; escalation; case narratives</t>
  </si>
  <si>
    <t xml:space="preserve">SQL alert queries; Python investigation timelines; threshold testing</t>
  </si>
  <si>
    <t xml:space="preserve">Must include end-to-end investigation practice.</t>
  </si>
  <si>
    <t xml:space="preserve">KYC / CDD / EDD + sanctions / PEP screening</t>
  </si>
  <si>
    <t xml:space="preserve">Customer risk; beneficial ownership; source of funds/wealth; sanctions/PEP alerts; screening logic</t>
  </si>
  <si>
    <t xml:space="preserve">SQL customer-to-transaction joins; fuzzy matching concepts</t>
  </si>
  <si>
    <t xml:space="preserve">Must be practical, not definition-only.</t>
  </si>
  <si>
    <t xml:space="preserve">Irish / EU AML workflow</t>
  </si>
  <si>
    <t xml:space="preserve">Irish AML obligations; FIU Ireland; STRs; goAML; Revenue reporting context; EU AML framework / AMLA</t>
  </si>
  <si>
    <t xml:space="preserve">Evidence capture; case documentation; workflow traceability</t>
  </si>
  <si>
    <t xml:space="preserve">Ireland-first; EU where directly relevant.</t>
  </si>
  <si>
    <t xml:space="preserve">SQL for AML analytics</t>
  </si>
  <si>
    <t xml:space="preserve">Joins; CTEs; window functions; rolling transaction totals; pattern detection; velocity checks; linked accounts</t>
  </si>
  <si>
    <t xml:space="preserve">PostgreSQL or DuckDB; repeatable detection queries</t>
  </si>
  <si>
    <t xml:space="preserve">Must produce portfolio-ready SQL evidence.</t>
  </si>
  <si>
    <t xml:space="preserve">Python / data analytics</t>
  </si>
  <si>
    <t xml:space="preserve">pandas; transaction aggregation; anomaly detection; threshold tuning; false-positive analysis; ML evaluation and model validation</t>
  </si>
  <si>
    <t xml:space="preserve">Python; pandas; NumPy; scikit-learn; Jupyter / VS Code</t>
  </si>
  <si>
    <t xml:space="preserve">ML applied to AML, not generic ML engineering. Model-validation content elevated in Week 7.</t>
  </si>
  <si>
    <t xml:space="preserve">WEEK 8 CAPSTONE, END-TO-END AML ANALYTICS CASE</t>
  </si>
  <si>
    <t xml:space="preserve">Step</t>
  </si>
  <si>
    <t xml:space="preserve">Capstone Stage</t>
  </si>
  <si>
    <t xml:space="preserve">What You Must Do</t>
  </si>
  <si>
    <t xml:space="preserve">SQL Evidence</t>
  </si>
  <si>
    <t xml:space="preserve">Python Evidence</t>
  </si>
  <si>
    <t xml:space="preserve">AML Decision Evidence</t>
  </si>
  <si>
    <t xml:space="preserve">Profile the customer</t>
  </si>
  <si>
    <t xml:space="preserve">Review KYC/customer attributes and expected activity</t>
  </si>
  <si>
    <t xml:space="preserve">Customer/KYC query</t>
  </si>
  <si>
    <t xml:space="preserve">Customer profile dataframe</t>
  </si>
  <si>
    <t xml:space="preserve">Risk profile summary</t>
  </si>
  <si>
    <t xml:space="preserve">Query transactions</t>
  </si>
  <si>
    <t xml:space="preserve">Establish behavioural baseline and timeline</t>
  </si>
  <si>
    <t xml:space="preserve">Transaction baseline queries</t>
  </si>
  <si>
    <t xml:space="preserve">Transaction aggregation</t>
  </si>
  <si>
    <t xml:space="preserve">Baseline observations</t>
  </si>
  <si>
    <t xml:space="preserve">Detect suspicious patterns</t>
  </si>
  <si>
    <t xml:space="preserve">Run typology detections including graph checks</t>
  </si>
  <si>
    <t xml:space="preserve">Structuring/layering/mule queries</t>
  </si>
  <si>
    <t xml:space="preserve">Detection functions + NetworkX ring check</t>
  </si>
  <si>
    <t xml:space="preserve">Triggered typologies</t>
  </si>
  <si>
    <t xml:space="preserve">Generate alerts</t>
  </si>
  <si>
    <t xml:space="preserve">Apply thresholds and risk scoring</t>
  </si>
  <si>
    <t xml:space="preserve">Scenario output tables</t>
  </si>
  <si>
    <t xml:space="preserve">Alert scoring code</t>
  </si>
  <si>
    <t xml:space="preserve">Alert rationale</t>
  </si>
  <si>
    <t xml:space="preserve">Triage alerts</t>
  </si>
  <si>
    <t xml:space="preserve">Rank and prioritise alerts</t>
  </si>
  <si>
    <t xml:space="preserve">Alert severity query</t>
  </si>
  <si>
    <t xml:space="preserve">Alert triage dataframe</t>
  </si>
  <si>
    <t xml:space="preserve">Triage decision</t>
  </si>
  <si>
    <t xml:space="preserve">Investigate</t>
  </si>
  <si>
    <t xml:space="preserve">Gather customer/transaction/counterparty evidence</t>
  </si>
  <si>
    <t xml:space="preserve">Evidence extraction</t>
  </si>
  <si>
    <t xml:space="preserve">Timeline/flow analysis</t>
  </si>
  <si>
    <t xml:space="preserve">Investigation notes</t>
  </si>
  <si>
    <t xml:space="preserve">Test false positive</t>
  </si>
  <si>
    <t xml:space="preserve">Challenge the alert against context</t>
  </si>
  <si>
    <t xml:space="preserve">Comparison queries</t>
  </si>
  <si>
    <t xml:space="preserve">Threshold sensitivity</t>
  </si>
  <si>
    <t xml:space="preserve">FP/TP conclusion</t>
  </si>
  <si>
    <t xml:space="preserve">Explain evidence</t>
  </si>
  <si>
    <t xml:space="preserve">Create a concise evidence chain</t>
  </si>
  <si>
    <t xml:space="preserve">Reproducible query pack</t>
  </si>
  <si>
    <t xml:space="preserve">Reproducible notebook</t>
  </si>
  <si>
    <t xml:space="preserve">Evidence summary</t>
  </si>
  <si>
    <t xml:space="preserve">Escalate appropriately</t>
  </si>
  <si>
    <t xml:space="preserve">Decide whether escalation is warranted</t>
  </si>
  <si>
    <t xml:space="preserve">Supporting extracts</t>
  </si>
  <si>
    <t xml:space="preserve">Supporting analysis</t>
  </si>
  <si>
    <t xml:space="preserve">Escalation rationale</t>
  </si>
  <si>
    <t xml:space="preserve">Draft STR-style narrative</t>
  </si>
  <si>
    <t xml:space="preserve">Prepare an Ireland-appropriate narrative structure</t>
  </si>
  <si>
    <t xml:space="preserve">Evidence references</t>
  </si>
  <si>
    <t xml:space="preserve">Summary tables</t>
  </si>
  <si>
    <t xml:space="preserve">Case narrative</t>
  </si>
  <si>
    <t xml:space="preserve">Evaluate detection performance</t>
  </si>
  <si>
    <t xml:space="preserve">Assess rules/model quality</t>
  </si>
  <si>
    <t xml:space="preserve">Alert metrics</t>
  </si>
  <si>
    <t xml:space="preserve">Precision/recall/FP analysis</t>
  </si>
  <si>
    <t xml:space="preserve">Control effectiveness summary</t>
  </si>
  <si>
    <t xml:space="preserve">COMPLEMENTARY CONTENT &amp; TOOLS, IRELAND / EU FIRST</t>
  </si>
  <si>
    <t xml:space="preserve">Type</t>
  </si>
  <si>
    <t xml:space="preserve">Topic</t>
  </si>
  <si>
    <t xml:space="preserve">Resource / Tool</t>
  </si>
  <si>
    <t xml:space="preserve">Jurisdiction</t>
  </si>
  <si>
    <t xml:space="preserve">How It Supports Training</t>
  </si>
  <si>
    <t xml:space="preserve">URL / Reference</t>
  </si>
  <si>
    <t xml:space="preserve">Use</t>
  </si>
  <si>
    <t xml:space="preserve">Video</t>
  </si>
  <si>
    <t xml:space="preserve">STR / goAML practical workflow</t>
  </si>
  <si>
    <t xml:space="preserve">Law Society of Ireland + FIU Ireland + Revenue webinar</t>
  </si>
  <si>
    <t xml:space="preserve">Ireland</t>
  </si>
  <si>
    <t xml:space="preserve">Practical STR reporting workflow and goAML context</t>
  </si>
  <si>
    <t xml:space="preserve">https://lawschooleduit.cloud.panopto.eu/Panopto/Pages/Viewer.aspx?id=d7e51539-f581-46c1-8651-b4030114e07b</t>
  </si>
  <si>
    <t xml:space="preserve">Week 8</t>
  </si>
  <si>
    <t xml:space="preserve">Official</t>
  </si>
  <si>
    <t xml:space="preserve">AML/CFT supervision</t>
  </si>
  <si>
    <t xml:space="preserve">Central Bank of Ireland AML/CFT</t>
  </si>
  <si>
    <t xml:space="preserve">Irish regulatory context and sector guidance</t>
  </si>
  <si>
    <t xml:space="preserve">https://www.centralbank.ie/regulation/anti-money-laundering-and-countering-the-financing-of-terrorism</t>
  </si>
  <si>
    <t xml:space="preserve">Wk 1, 2, 8</t>
  </si>
  <si>
    <t xml:space="preserve">EU AML framework / AMLA</t>
  </si>
  <si>
    <t xml:space="preserve">AMLA official site</t>
  </si>
  <si>
    <t xml:space="preserve">EU</t>
  </si>
  <si>
    <t xml:space="preserve">The new EU framework and single rulebook</t>
  </si>
  <si>
    <t xml:space="preserve">https://www.amla.europa.eu/</t>
  </si>
  <si>
    <t xml:space="preserve">Wk 1 / ref</t>
  </si>
  <si>
    <t xml:space="preserve">Suspicious transaction reporting</t>
  </si>
  <si>
    <t xml:space="preserve">FIU Ireland / Garda Economic Crime Bureau</t>
  </si>
  <si>
    <t xml:space="preserve">Reporting and financial intelligence context</t>
  </si>
  <si>
    <t xml:space="preserve">https://www.garda.ie/en/about-us/organised-serious-crime/garda-national-economic-crime-bureau/</t>
  </si>
  <si>
    <t xml:space="preserve">Dataset</t>
  </si>
  <si>
    <t xml:space="preserve">Synthetic payments</t>
  </si>
  <si>
    <t xml:space="preserve">PaySim synthetic transaction dataset</t>
  </si>
  <si>
    <t xml:space="preserve">Global / tool</t>
  </si>
  <si>
    <t xml:space="preserve">Safe practice data for structuring, mule, layering and threshold work</t>
  </si>
  <si>
    <t xml:space="preserve">https://www.kaggle.com/datasets/ealaxi/paysim1</t>
  </si>
  <si>
    <t xml:space="preserve">Wk 1-7</t>
  </si>
  <si>
    <t xml:space="preserve">Sanctions / PEP data</t>
  </si>
  <si>
    <t xml:space="preserve">OpenSanctions</t>
  </si>
  <si>
    <t xml:space="preserve">Real sanctions and PEP data for the screening module</t>
  </si>
  <si>
    <t xml:space="preserve">https://www.opensanctions.org/</t>
  </si>
  <si>
    <t xml:space="preserve">Week 2</t>
  </si>
  <si>
    <t xml:space="preserve">Tool</t>
  </si>
  <si>
    <t xml:space="preserve">SQL engine</t>
  </si>
  <si>
    <t xml:space="preserve">PostgreSQL or DuckDB</t>
  </si>
  <si>
    <t xml:space="preserve">Joins, CTEs, windows, rolling sums, velocity, linked-account analysis</t>
  </si>
  <si>
    <t xml:space="preserve">https://www.postgresql.org/</t>
  </si>
  <si>
    <t xml:space="preserve">Wk 1-8</t>
  </si>
  <si>
    <t xml:space="preserve">Python analytics</t>
  </si>
  <si>
    <t xml:space="preserve">Python + pandas</t>
  </si>
  <si>
    <t xml:space="preserve">Aggregation, investigation, threshold tuning and anomaly detection</t>
  </si>
  <si>
    <t xml:space="preserve">https://pandas.pydata.org/</t>
  </si>
  <si>
    <t xml:space="preserve">Wk 4-8</t>
  </si>
  <si>
    <t xml:space="preserve">Graph analytics</t>
  </si>
  <si>
    <t xml:space="preserve">NetworkX + pyvis</t>
  </si>
  <si>
    <t xml:space="preserve">Transaction networks, circular-flow and ring detection, visualisation</t>
  </si>
  <si>
    <t xml:space="preserve">https://networkx.org/</t>
  </si>
  <si>
    <t xml:space="preserve">Week 6</t>
  </si>
  <si>
    <t xml:space="preserve">ML evaluation</t>
  </si>
  <si>
    <t xml:space="preserve">scikit-learn</t>
  </si>
  <si>
    <t xml:space="preserve">Confusion matrix, precision/recall, anomaly detection, evaluation</t>
  </si>
  <si>
    <t xml:space="preserve">https://scikit-learn.org/</t>
  </si>
  <si>
    <t xml:space="preserve">Week 7</t>
  </si>
  <si>
    <t xml:space="preserve">Dashboarding</t>
  </si>
  <si>
    <t xml:space="preserve">AML MI: alerts, typologies, dispositions and false-positive rates</t>
  </si>
  <si>
    <t xml:space="preserve">https://www.microsoft.com/power-platform/products/power-bi</t>
  </si>
  <si>
    <t xml:space="preserve">Version-controlled evidence of SQL, notebooks and documentation</t>
  </si>
  <si>
    <t xml:space="preserve">https://github.com/</t>
  </si>
  <si>
    <t xml:space="preserve">Wk 3-8</t>
  </si>
  <si>
    <t xml:space="preserve">Cert</t>
  </si>
  <si>
    <t xml:space="preserve">AML certification</t>
  </si>
  <si>
    <t xml:space="preserve">ACAMS (CAMS)</t>
  </si>
  <si>
    <t xml:space="preserve">Global</t>
  </si>
  <si>
    <t xml:space="preserve">Optional accelerator; the global AML standard, recurs in Dublin ads</t>
  </si>
  <si>
    <t xml:space="preserve">https://www.acams.org/</t>
  </si>
  <si>
    <t xml:space="preserve">Week 8 / opt</t>
  </si>
  <si>
    <t xml:space="preserve">Irish compliance body</t>
  </si>
  <si>
    <t xml:space="preserve">Compliance Institute (ACOI)</t>
  </si>
  <si>
    <t xml:space="preserve">Optional; the Irish professional body's local designations</t>
  </si>
  <si>
    <t xml:space="preserve">https://www.acoi.ie/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</si>
</sst>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General"/>
    <numFmt numFmtId="16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0"/>
      <color rgb="FF2E5496"/>
      <name val="Arial"/>
      <family val="0"/>
      <charset val="1"/>
    </font>
    <font>
      <i val="true"/>
      <sz val="9"/>
      <color rgb="FF222222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9"/>
      <color rgb="FF2E5496"/>
      <name val="Arial"/>
      <family val="0"/>
      <charset val="1"/>
    </font>
    <font>
      <b val="true"/>
      <sz val="9"/>
      <color rgb="FF222222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C9D5EC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1F3864"/>
        <bgColor rgb="FF222222"/>
      </patternFill>
    </fill>
    <fill>
      <patternFill patternType="solid">
        <fgColor rgb="FFC9D5EC"/>
        <bgColor rgb="FFD9E1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C9D5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lawschooleduit.cloud.panopto.eu/Panopto/Pages/Viewer.aspx?id=d7e51539-f581-46c1-8651-b4030114e07b" TargetMode="External"/><Relationship Id="rId2" Type="http://schemas.openxmlformats.org/officeDocument/2006/relationships/hyperlink" Target="https://www.centralbank.ie/regulation/anti-money-laundering-and-countering-the-financing-of-terrorism" TargetMode="External"/><Relationship Id="rId3" Type="http://schemas.openxmlformats.org/officeDocument/2006/relationships/hyperlink" Target="https://www.amla.europa.eu/" TargetMode="External"/><Relationship Id="rId4" Type="http://schemas.openxmlformats.org/officeDocument/2006/relationships/hyperlink" Target="https://www.garda.ie/en/about-us/organised-serious-crime/garda-national-economic-crime-bureau/" TargetMode="External"/><Relationship Id="rId5" Type="http://schemas.openxmlformats.org/officeDocument/2006/relationships/hyperlink" Target="https://www.kaggle.com/datasets/ealaxi/paysim1" TargetMode="External"/><Relationship Id="rId6" Type="http://schemas.openxmlformats.org/officeDocument/2006/relationships/hyperlink" Target="https://www.opensanctions.org/" TargetMode="External"/><Relationship Id="rId7" Type="http://schemas.openxmlformats.org/officeDocument/2006/relationships/hyperlink" Target="https://www.postgresql.org/" TargetMode="External"/><Relationship Id="rId8" Type="http://schemas.openxmlformats.org/officeDocument/2006/relationships/hyperlink" Target="https://pandas.pydata.org/" TargetMode="External"/><Relationship Id="rId9" Type="http://schemas.openxmlformats.org/officeDocument/2006/relationships/hyperlink" Target="https://networkx.org/" TargetMode="External"/><Relationship Id="rId10" Type="http://schemas.openxmlformats.org/officeDocument/2006/relationships/hyperlink" Target="https://scikit-learn.org/" TargetMode="External"/><Relationship Id="rId11" Type="http://schemas.openxmlformats.org/officeDocument/2006/relationships/hyperlink" Target="https://www.microsoft.com/power-platform/products/power-bi" TargetMode="External"/><Relationship Id="rId12" Type="http://schemas.openxmlformats.org/officeDocument/2006/relationships/hyperlink" Target="https://github.com/" TargetMode="External"/><Relationship Id="rId13" Type="http://schemas.openxmlformats.org/officeDocument/2006/relationships/hyperlink" Target="https://www.acams.org/" TargetMode="External"/><Relationship Id="rId14" Type="http://schemas.openxmlformats.org/officeDocument/2006/relationships/hyperlink" Target="https://www.acoi.ie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6" min="6" style="0" width="8"/>
    <col collapsed="false" customWidth="true" hidden="false" outlineLevel="0" max="8" min="7" style="0" width="1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</row>
    <row r="4" customFormat="false" ht="15" hidden="false" customHeight="false" outlineLevel="0" collapsed="false">
      <c r="A4" s="2" t="s">
        <v>8</v>
      </c>
      <c r="B4" s="5"/>
      <c r="D4" s="6" t="n">
        <v>1</v>
      </c>
      <c r="E4" s="7" t="s">
        <v>9</v>
      </c>
      <c r="F4" s="8" t="n">
        <f aca="false">COUNTIF('8-Week Planner'!$A$5:$A$37,D4)</f>
        <v>4</v>
      </c>
      <c r="G4" s="8" t="n">
        <f aca="false">COUNTIFS('8-Week Planner'!$A$5:$A$37,D4,'8-Week Planner'!$L$5:$L$37,"Complete")</f>
        <v>0</v>
      </c>
      <c r="H4" s="9" t="n">
        <f aca="false">IF(F4=0,0,G4/F4)</f>
        <v>0</v>
      </c>
    </row>
    <row r="5" customFormat="false" ht="15" hidden="false" customHeight="false" outlineLevel="0" collapsed="false">
      <c r="A5" s="2" t="s">
        <v>10</v>
      </c>
      <c r="B5" s="10" t="n">
        <f aca="false">IF(B7=0,0,B6/B7)</f>
        <v>0</v>
      </c>
      <c r="D5" s="6" t="n">
        <v>2</v>
      </c>
      <c r="E5" s="11" t="s">
        <v>11</v>
      </c>
      <c r="F5" s="8" t="n">
        <f aca="false">COUNTIF('8-Week Planner'!$A$5:$A$37,D5)</f>
        <v>3</v>
      </c>
      <c r="G5" s="8" t="n">
        <f aca="false">COUNTIFS('8-Week Planner'!$A$5:$A$37,D5,'8-Week Planner'!$L$5:$L$37,"Complete")</f>
        <v>0</v>
      </c>
      <c r="H5" s="9" t="n">
        <f aca="false">IF(F5=0,0,G5/F5)</f>
        <v>0</v>
      </c>
    </row>
    <row r="6" customFormat="false" ht="15" hidden="false" customHeight="false" outlineLevel="0" collapsed="false">
      <c r="A6" s="2" t="s">
        <v>12</v>
      </c>
      <c r="B6" s="12" t="n">
        <f aca="false">COUNTIF('8-Week Planner'!$L$5:$L$37,"Complete")</f>
        <v>0</v>
      </c>
      <c r="D6" s="6" t="n">
        <v>3</v>
      </c>
      <c r="E6" s="7" t="s">
        <v>13</v>
      </c>
      <c r="F6" s="8" t="n">
        <f aca="false">COUNTIF('8-Week Planner'!$A$5:$A$37,D6)</f>
        <v>4</v>
      </c>
      <c r="G6" s="8" t="n">
        <f aca="false">COUNTIFS('8-Week Planner'!$A$5:$A$37,D6,'8-Week Planner'!$L$5:$L$37,"Complete")</f>
        <v>0</v>
      </c>
      <c r="H6" s="9" t="n">
        <f aca="false">IF(F6=0,0,G6/F6)</f>
        <v>0</v>
      </c>
    </row>
    <row r="7" customFormat="false" ht="15" hidden="false" customHeight="false" outlineLevel="0" collapsed="false">
      <c r="A7" s="2" t="s">
        <v>14</v>
      </c>
      <c r="B7" s="12" t="n">
        <f aca="false">COUNTA('8-Week Planner'!$C$5:$C$37)</f>
        <v>33</v>
      </c>
      <c r="D7" s="6" t="n">
        <v>4</v>
      </c>
      <c r="E7" s="11" t="s">
        <v>15</v>
      </c>
      <c r="F7" s="8" t="n">
        <f aca="false">COUNTIF('8-Week Planner'!$A$5:$A$37,D7)</f>
        <v>4</v>
      </c>
      <c r="G7" s="8" t="n">
        <f aca="false">COUNTIFS('8-Week Planner'!$A$5:$A$37,D7,'8-Week Planner'!$L$5:$L$37,"Complete")</f>
        <v>0</v>
      </c>
      <c r="H7" s="9" t="n">
        <f aca="false">IF(F7=0,0,G7/F7)</f>
        <v>0</v>
      </c>
    </row>
    <row r="8" customFormat="false" ht="15" hidden="false" customHeight="false" outlineLevel="0" collapsed="false">
      <c r="D8" s="6" t="n">
        <v>5</v>
      </c>
      <c r="E8" s="7" t="s">
        <v>16</v>
      </c>
      <c r="F8" s="8" t="n">
        <f aca="false">COUNTIF('8-Week Planner'!$A$5:$A$37,D8)</f>
        <v>4</v>
      </c>
      <c r="G8" s="8" t="n">
        <f aca="false">COUNTIFS('8-Week Planner'!$A$5:$A$37,D8,'8-Week Planner'!$L$5:$L$37,"Complete")</f>
        <v>0</v>
      </c>
      <c r="H8" s="9" t="n">
        <f aca="false">IF(F8=0,0,G8/F8)</f>
        <v>0</v>
      </c>
    </row>
    <row r="9" customFormat="false" ht="15" hidden="false" customHeight="false" outlineLevel="0" collapsed="false">
      <c r="A9" s="13" t="s">
        <v>17</v>
      </c>
      <c r="B9" s="14" t="s">
        <v>18</v>
      </c>
      <c r="D9" s="6" t="n">
        <v>6</v>
      </c>
      <c r="E9" s="11" t="s">
        <v>19</v>
      </c>
      <c r="F9" s="8" t="n">
        <f aca="false">COUNTIF('8-Week Planner'!$A$5:$A$37,D9)</f>
        <v>4</v>
      </c>
      <c r="G9" s="8" t="n">
        <f aca="false">COUNTIFS('8-Week Planner'!$A$5:$A$37,D9,'8-Week Planner'!$L$5:$L$37,"Complete")</f>
        <v>0</v>
      </c>
      <c r="H9" s="9" t="n">
        <f aca="false">IF(F9=0,0,G9/F9)</f>
        <v>0</v>
      </c>
    </row>
    <row r="10" customFormat="false" ht="22.35" hidden="false" customHeight="false" outlineLevel="0" collapsed="false">
      <c r="A10" s="15" t="s">
        <v>20</v>
      </c>
      <c r="B10" s="16"/>
      <c r="D10" s="6" t="n">
        <v>7</v>
      </c>
      <c r="E10" s="7" t="s">
        <v>21</v>
      </c>
      <c r="F10" s="8" t="n">
        <f aca="false">COUNTIF('8-Week Planner'!$A$5:$A$37,D10)</f>
        <v>5</v>
      </c>
      <c r="G10" s="8" t="n">
        <f aca="false">COUNTIFS('8-Week Planner'!$A$5:$A$37,D10,'8-Week Planner'!$L$5:$L$37,"Complete")</f>
        <v>0</v>
      </c>
      <c r="H10" s="9" t="n">
        <f aca="false">IF(F10=0,0,G10/F10)</f>
        <v>0</v>
      </c>
    </row>
    <row r="11" customFormat="false" ht="15" hidden="false" customHeight="false" outlineLevel="0" collapsed="false">
      <c r="A11" s="15" t="s">
        <v>22</v>
      </c>
      <c r="B11" s="16" t="s">
        <v>23</v>
      </c>
      <c r="D11" s="6" t="n">
        <v>8</v>
      </c>
      <c r="E11" s="11" t="s">
        <v>24</v>
      </c>
      <c r="F11" s="8" t="n">
        <f aca="false">COUNTIF('8-Week Planner'!$A$5:$A$37,D11)</f>
        <v>5</v>
      </c>
      <c r="G11" s="8" t="n">
        <f aca="false">COUNTIFS('8-Week Planner'!$A$5:$A$37,D11,'8-Week Planner'!$L$5:$L$37,"Complete")</f>
        <v>0</v>
      </c>
      <c r="H11" s="9" t="n">
        <f aca="false">IF(F11=0,0,G11/F11)</f>
        <v>0</v>
      </c>
    </row>
    <row r="12" customFormat="false" ht="15" hidden="false" customHeight="false" outlineLevel="0" collapsed="false">
      <c r="A12" s="15" t="s">
        <v>25</v>
      </c>
      <c r="B12" s="16" t="s">
        <v>26</v>
      </c>
    </row>
    <row r="13" customFormat="false" ht="15" hidden="false" customHeight="false" outlineLevel="0" collapsed="false">
      <c r="A13" s="15" t="s">
        <v>27</v>
      </c>
      <c r="B13" s="16" t="s">
        <v>28</v>
      </c>
    </row>
    <row r="14" customFormat="false" ht="15" hidden="false" customHeight="false" outlineLevel="0" collapsed="false">
      <c r="A14" s="15" t="s">
        <v>29</v>
      </c>
      <c r="B14" s="16" t="s">
        <v>30</v>
      </c>
    </row>
    <row r="16" customFormat="false" ht="15" hidden="false" customHeight="true" outlineLevel="0" collapsed="false">
      <c r="A16" s="17" t="s">
        <v>31</v>
      </c>
      <c r="B16" s="17"/>
    </row>
    <row r="17" customFormat="false" ht="15" hidden="false" customHeight="false" outlineLevel="0" collapsed="false">
      <c r="A17" s="17"/>
      <c r="B17" s="17"/>
    </row>
  </sheetData>
  <mergeCells count="2">
    <mergeCell ref="A1:H1"/>
    <mergeCell ref="A16:B17"/>
  </mergeCells>
  <conditionalFormatting sqref="H4:H11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allowBlank="true" errorStyle="stop" operator="between" showDropDown="false" showErrorMessage="false" showInputMessage="false" sqref="B3" type="list">
      <formula1>"Proposed,Agreed,In Progress,Paused,Complete"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5"/>
    <col collapsed="false" customWidth="true" hidden="false" outlineLevel="0" max="4" min="4" style="0" width="32"/>
    <col collapsed="false" customWidth="true" hidden="false" outlineLevel="0" max="6" min="5" style="0" width="29"/>
    <col collapsed="false" customWidth="true" hidden="false" outlineLevel="0" max="7" min="7" style="0" width="32"/>
    <col collapsed="false" customWidth="true" hidden="false" outlineLevel="0" max="8" min="8" style="0" width="19"/>
    <col collapsed="false" customWidth="true" hidden="false" outlineLevel="0" max="9" min="9" style="0" width="25"/>
    <col collapsed="false" customWidth="true" hidden="false" outlineLevel="0" max="10" min="10" style="0" width="27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5" min="14" style="0" width="9"/>
    <col collapsed="false" customWidth="true" hidden="false" outlineLevel="0" max="17" min="16" style="0" width="13"/>
    <col collapsed="false" customWidth="true" hidden="false" outlineLevel="0" max="18" min="18" style="0" width="11"/>
    <col collapsed="false" customWidth="true" hidden="false" outlineLevel="0" max="19" min="19" style="0" width="20"/>
  </cols>
  <sheetData>
    <row r="1" customFormat="false" ht="21.75" hidden="false" customHeight="true" outlineLevel="0" collapsed="false">
      <c r="A1" s="18" t="s">
        <v>32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</row>
    <row r="2" customFormat="false" ht="15" hidden="false" customHeight="true" outlineLevel="0" collapsed="false">
      <c r="A2" s="19" t="s">
        <v>33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4" customFormat="false" ht="30" hidden="false" customHeight="true" outlineLevel="0" collapsed="false">
      <c r="A4" s="20" t="s">
        <v>3</v>
      </c>
      <c r="B4" s="20" t="s">
        <v>4</v>
      </c>
      <c r="C4" s="20" t="s">
        <v>34</v>
      </c>
      <c r="D4" s="20" t="s">
        <v>35</v>
      </c>
      <c r="E4" s="20" t="s">
        <v>36</v>
      </c>
      <c r="F4" s="20" t="s">
        <v>37</v>
      </c>
      <c r="G4" s="20" t="s">
        <v>38</v>
      </c>
      <c r="H4" s="20" t="s">
        <v>39</v>
      </c>
      <c r="I4" s="20" t="s">
        <v>40</v>
      </c>
      <c r="J4" s="20" t="s">
        <v>41</v>
      </c>
      <c r="K4" s="20" t="s">
        <v>42</v>
      </c>
      <c r="L4" s="20" t="s">
        <v>43</v>
      </c>
      <c r="M4" s="20" t="s">
        <v>44</v>
      </c>
      <c r="N4" s="20" t="s">
        <v>45</v>
      </c>
      <c r="O4" s="20" t="s">
        <v>46</v>
      </c>
      <c r="P4" s="20" t="s">
        <v>8</v>
      </c>
      <c r="Q4" s="20" t="s">
        <v>47</v>
      </c>
      <c r="R4" s="20" t="s">
        <v>48</v>
      </c>
      <c r="S4" s="20" t="s">
        <v>49</v>
      </c>
    </row>
    <row r="5" customFormat="false" ht="91.5" hidden="false" customHeight="true" outlineLevel="0" collapsed="false">
      <c r="A5" s="21" t="n">
        <v>1</v>
      </c>
      <c r="B5" s="22" t="s">
        <v>9</v>
      </c>
      <c r="C5" s="23" t="s">
        <v>50</v>
      </c>
      <c r="D5" s="23" t="s">
        <v>51</v>
      </c>
      <c r="E5" s="23" t="s">
        <v>52</v>
      </c>
      <c r="F5" s="23" t="s">
        <v>53</v>
      </c>
      <c r="G5" s="23" t="s">
        <v>54</v>
      </c>
      <c r="H5" s="23" t="s">
        <v>55</v>
      </c>
      <c r="I5" s="23" t="s">
        <v>56</v>
      </c>
      <c r="J5" s="24" t="s">
        <v>57</v>
      </c>
      <c r="K5" s="25" t="s">
        <v>58</v>
      </c>
      <c r="L5" s="25" t="s">
        <v>59</v>
      </c>
      <c r="M5" s="25"/>
      <c r="N5" s="25"/>
      <c r="O5" s="25"/>
      <c r="P5" s="26" t="str">
        <f aca="false">IF(Dashboard!$B$4="","",Dashboard!$B$4+(A5-1)*7)</f>
        <v/>
      </c>
      <c r="Q5" s="26" t="str">
        <f aca="false">IF(P5="","",P5+6)</f>
        <v/>
      </c>
      <c r="R5" s="27" t="n">
        <f aca="false">IF(L5="Complete",1,IF(L5="Review",0.75,IF(L5="In Progress",0.5,IF(L5="Blocked",0.25,0))))</f>
        <v>0</v>
      </c>
      <c r="S5" s="23"/>
    </row>
    <row r="6" customFormat="false" ht="91.5" hidden="false" customHeight="true" outlineLevel="0" collapsed="false">
      <c r="A6" s="21" t="n">
        <v>1</v>
      </c>
      <c r="B6" s="22" t="s">
        <v>9</v>
      </c>
      <c r="C6" s="23" t="s">
        <v>60</v>
      </c>
      <c r="D6" s="23" t="s">
        <v>61</v>
      </c>
      <c r="E6" s="23" t="s">
        <v>62</v>
      </c>
      <c r="F6" s="23" t="s">
        <v>63</v>
      </c>
      <c r="G6" s="23" t="s">
        <v>64</v>
      </c>
      <c r="H6" s="23" t="s">
        <v>65</v>
      </c>
      <c r="I6" s="23" t="s">
        <v>66</v>
      </c>
      <c r="J6" s="24" t="s">
        <v>67</v>
      </c>
      <c r="K6" s="25" t="s">
        <v>58</v>
      </c>
      <c r="L6" s="25" t="s">
        <v>59</v>
      </c>
      <c r="M6" s="25"/>
      <c r="N6" s="25"/>
      <c r="O6" s="25"/>
      <c r="P6" s="26" t="str">
        <f aca="false">IF(Dashboard!$B$4="","",Dashboard!$B$4+(A6-1)*7)</f>
        <v/>
      </c>
      <c r="Q6" s="26" t="str">
        <f aca="false">IF(P6="","",P6+6)</f>
        <v/>
      </c>
      <c r="R6" s="27" t="n">
        <f aca="false">IF(L6="Complete",1,IF(L6="Review",0.75,IF(L6="In Progress",0.5,IF(L6="Blocked",0.25,0))))</f>
        <v>0</v>
      </c>
      <c r="S6" s="23"/>
    </row>
    <row r="7" customFormat="false" ht="91.5" hidden="false" customHeight="true" outlineLevel="0" collapsed="false">
      <c r="A7" s="21" t="n">
        <v>1</v>
      </c>
      <c r="B7" s="22" t="s">
        <v>9</v>
      </c>
      <c r="C7" s="23" t="s">
        <v>68</v>
      </c>
      <c r="D7" s="23" t="s">
        <v>69</v>
      </c>
      <c r="E7" s="23" t="s">
        <v>70</v>
      </c>
      <c r="F7" s="23" t="s">
        <v>71</v>
      </c>
      <c r="G7" s="23" t="s">
        <v>72</v>
      </c>
      <c r="H7" s="23" t="s">
        <v>65</v>
      </c>
      <c r="I7" s="23" t="s">
        <v>73</v>
      </c>
      <c r="J7" s="24" t="s">
        <v>74</v>
      </c>
      <c r="K7" s="25" t="s">
        <v>58</v>
      </c>
      <c r="L7" s="25" t="s">
        <v>59</v>
      </c>
      <c r="M7" s="25"/>
      <c r="N7" s="25"/>
      <c r="O7" s="25"/>
      <c r="P7" s="26" t="str">
        <f aca="false">IF(Dashboard!$B$4="","",Dashboard!$B$4+(A7-1)*7)</f>
        <v/>
      </c>
      <c r="Q7" s="26" t="str">
        <f aca="false">IF(P7="","",P7+6)</f>
        <v/>
      </c>
      <c r="R7" s="27" t="n">
        <f aca="false">IF(L7="Complete",1,IF(L7="Review",0.75,IF(L7="In Progress",0.5,IF(L7="Blocked",0.25,0))))</f>
        <v>0</v>
      </c>
      <c r="S7" s="23"/>
    </row>
    <row r="8" customFormat="false" ht="91.5" hidden="false" customHeight="true" outlineLevel="0" collapsed="false">
      <c r="A8" s="21" t="n">
        <v>1</v>
      </c>
      <c r="B8" s="22" t="s">
        <v>9</v>
      </c>
      <c r="C8" s="23" t="s">
        <v>75</v>
      </c>
      <c r="D8" s="23" t="s">
        <v>76</v>
      </c>
      <c r="E8" s="23" t="s">
        <v>77</v>
      </c>
      <c r="F8" s="23" t="s">
        <v>78</v>
      </c>
      <c r="G8" s="23" t="s">
        <v>79</v>
      </c>
      <c r="H8" s="23" t="s">
        <v>80</v>
      </c>
      <c r="I8" s="23" t="s">
        <v>81</v>
      </c>
      <c r="J8" s="24" t="s">
        <v>82</v>
      </c>
      <c r="K8" s="25" t="s">
        <v>83</v>
      </c>
      <c r="L8" s="25" t="s">
        <v>59</v>
      </c>
      <c r="M8" s="25"/>
      <c r="N8" s="25"/>
      <c r="O8" s="25"/>
      <c r="P8" s="26" t="str">
        <f aca="false">IF(Dashboard!$B$4="","",Dashboard!$B$4+(A8-1)*7)</f>
        <v/>
      </c>
      <c r="Q8" s="26" t="str">
        <f aca="false">IF(P8="","",P8+6)</f>
        <v/>
      </c>
      <c r="R8" s="27" t="n">
        <f aca="false">IF(L8="Complete",1,IF(L8="Review",0.75,IF(L8="In Progress",0.5,IF(L8="Blocked",0.25,0))))</f>
        <v>0</v>
      </c>
      <c r="S8" s="23"/>
    </row>
    <row r="9" customFormat="false" ht="91.5" hidden="false" customHeight="true" outlineLevel="0" collapsed="false">
      <c r="A9" s="21" t="n">
        <v>2</v>
      </c>
      <c r="B9" s="28" t="s">
        <v>11</v>
      </c>
      <c r="C9" s="29" t="s">
        <v>84</v>
      </c>
      <c r="D9" s="29" t="s">
        <v>85</v>
      </c>
      <c r="E9" s="29" t="s">
        <v>86</v>
      </c>
      <c r="F9" s="29" t="s">
        <v>87</v>
      </c>
      <c r="G9" s="29" t="s">
        <v>88</v>
      </c>
      <c r="H9" s="29" t="s">
        <v>65</v>
      </c>
      <c r="I9" s="29" t="s">
        <v>89</v>
      </c>
      <c r="J9" s="24" t="s">
        <v>90</v>
      </c>
      <c r="K9" s="30" t="s">
        <v>58</v>
      </c>
      <c r="L9" s="30" t="s">
        <v>59</v>
      </c>
      <c r="M9" s="30"/>
      <c r="N9" s="30"/>
      <c r="O9" s="30"/>
      <c r="P9" s="31" t="str">
        <f aca="false">IF(Dashboard!$B$4="","",Dashboard!$B$4+(A9-1)*7)</f>
        <v/>
      </c>
      <c r="Q9" s="31" t="str">
        <f aca="false">IF(P9="","",P9+6)</f>
        <v/>
      </c>
      <c r="R9" s="32" t="n">
        <f aca="false">IF(L9="Complete",1,IF(L9="Review",0.75,IF(L9="In Progress",0.5,IF(L9="Blocked",0.25,0))))</f>
        <v>0</v>
      </c>
      <c r="S9" s="29"/>
    </row>
    <row r="10" customFormat="false" ht="91.5" hidden="false" customHeight="true" outlineLevel="0" collapsed="false">
      <c r="A10" s="21" t="n">
        <v>2</v>
      </c>
      <c r="B10" s="28" t="s">
        <v>11</v>
      </c>
      <c r="C10" s="29" t="s">
        <v>91</v>
      </c>
      <c r="D10" s="29" t="s">
        <v>92</v>
      </c>
      <c r="E10" s="29" t="s">
        <v>93</v>
      </c>
      <c r="F10" s="29" t="s">
        <v>94</v>
      </c>
      <c r="G10" s="29" t="s">
        <v>95</v>
      </c>
      <c r="H10" s="29" t="s">
        <v>65</v>
      </c>
      <c r="I10" s="29" t="s">
        <v>96</v>
      </c>
      <c r="J10" s="24" t="s">
        <v>97</v>
      </c>
      <c r="K10" s="30" t="s">
        <v>58</v>
      </c>
      <c r="L10" s="30" t="s">
        <v>59</v>
      </c>
      <c r="M10" s="30"/>
      <c r="N10" s="30"/>
      <c r="O10" s="30"/>
      <c r="P10" s="31" t="str">
        <f aca="false">IF(Dashboard!$B$4="","",Dashboard!$B$4+(A10-1)*7)</f>
        <v/>
      </c>
      <c r="Q10" s="31" t="str">
        <f aca="false">IF(P10="","",P10+6)</f>
        <v/>
      </c>
      <c r="R10" s="32" t="n">
        <f aca="false">IF(L10="Complete",1,IF(L10="Review",0.75,IF(L10="In Progress",0.5,IF(L10="Blocked",0.25,0))))</f>
        <v>0</v>
      </c>
      <c r="S10" s="29"/>
    </row>
    <row r="11" customFormat="false" ht="91.5" hidden="false" customHeight="true" outlineLevel="0" collapsed="false">
      <c r="A11" s="21" t="n">
        <v>2</v>
      </c>
      <c r="B11" s="28" t="s">
        <v>11</v>
      </c>
      <c r="C11" s="29" t="s">
        <v>98</v>
      </c>
      <c r="D11" s="29" t="s">
        <v>99</v>
      </c>
      <c r="E11" s="29" t="s">
        <v>100</v>
      </c>
      <c r="F11" s="29" t="s">
        <v>101</v>
      </c>
      <c r="G11" s="29" t="s">
        <v>102</v>
      </c>
      <c r="H11" s="29" t="s">
        <v>103</v>
      </c>
      <c r="I11" s="29" t="s">
        <v>104</v>
      </c>
      <c r="J11" s="24" t="s">
        <v>105</v>
      </c>
      <c r="K11" s="30" t="s">
        <v>58</v>
      </c>
      <c r="L11" s="30" t="s">
        <v>59</v>
      </c>
      <c r="M11" s="30"/>
      <c r="N11" s="30"/>
      <c r="O11" s="30"/>
      <c r="P11" s="31" t="str">
        <f aca="false">IF(Dashboard!$B$4="","",Dashboard!$B$4+(A11-1)*7)</f>
        <v/>
      </c>
      <c r="Q11" s="31" t="str">
        <f aca="false">IF(P11="","",P11+6)</f>
        <v/>
      </c>
      <c r="R11" s="32" t="n">
        <f aca="false">IF(L11="Complete",1,IF(L11="Review",0.75,IF(L11="In Progress",0.5,IF(L11="Blocked",0.25,0))))</f>
        <v>0</v>
      </c>
      <c r="S11" s="29"/>
    </row>
    <row r="12" customFormat="false" ht="91.5" hidden="false" customHeight="true" outlineLevel="0" collapsed="false">
      <c r="A12" s="21" t="n">
        <v>3</v>
      </c>
      <c r="B12" s="22" t="s">
        <v>13</v>
      </c>
      <c r="C12" s="23" t="s">
        <v>106</v>
      </c>
      <c r="D12" s="23" t="s">
        <v>107</v>
      </c>
      <c r="E12" s="23" t="s">
        <v>108</v>
      </c>
      <c r="F12" s="23" t="s">
        <v>109</v>
      </c>
      <c r="G12" s="23" t="s">
        <v>110</v>
      </c>
      <c r="H12" s="23" t="s">
        <v>111</v>
      </c>
      <c r="I12" s="23" t="s">
        <v>112</v>
      </c>
      <c r="J12" s="24" t="s">
        <v>113</v>
      </c>
      <c r="K12" s="25" t="s">
        <v>58</v>
      </c>
      <c r="L12" s="25" t="s">
        <v>59</v>
      </c>
      <c r="M12" s="25"/>
      <c r="N12" s="25"/>
      <c r="O12" s="25"/>
      <c r="P12" s="26" t="str">
        <f aca="false">IF(Dashboard!$B$4="","",Dashboard!$B$4+(A12-1)*7)</f>
        <v/>
      </c>
      <c r="Q12" s="26" t="str">
        <f aca="false">IF(P12="","",P12+6)</f>
        <v/>
      </c>
      <c r="R12" s="27" t="n">
        <f aca="false">IF(L12="Complete",1,IF(L12="Review",0.75,IF(L12="In Progress",0.5,IF(L12="Blocked",0.25,0))))</f>
        <v>0</v>
      </c>
      <c r="S12" s="23"/>
    </row>
    <row r="13" customFormat="false" ht="91.5" hidden="false" customHeight="true" outlineLevel="0" collapsed="false">
      <c r="A13" s="21" t="n">
        <v>3</v>
      </c>
      <c r="B13" s="22" t="s">
        <v>13</v>
      </c>
      <c r="C13" s="23" t="s">
        <v>114</v>
      </c>
      <c r="D13" s="23" t="s">
        <v>115</v>
      </c>
      <c r="E13" s="23" t="s">
        <v>116</v>
      </c>
      <c r="F13" s="23" t="s">
        <v>117</v>
      </c>
      <c r="G13" s="23" t="s">
        <v>118</v>
      </c>
      <c r="H13" s="23" t="s">
        <v>65</v>
      </c>
      <c r="I13" s="23" t="s">
        <v>119</v>
      </c>
      <c r="J13" s="24" t="s">
        <v>120</v>
      </c>
      <c r="K13" s="25" t="s">
        <v>58</v>
      </c>
      <c r="L13" s="25" t="s">
        <v>59</v>
      </c>
      <c r="M13" s="25"/>
      <c r="N13" s="25"/>
      <c r="O13" s="25"/>
      <c r="P13" s="26" t="str">
        <f aca="false">IF(Dashboard!$B$4="","",Dashboard!$B$4+(A13-1)*7)</f>
        <v/>
      </c>
      <c r="Q13" s="26" t="str">
        <f aca="false">IF(P13="","",P13+6)</f>
        <v/>
      </c>
      <c r="R13" s="27" t="n">
        <f aca="false">IF(L13="Complete",1,IF(L13="Review",0.75,IF(L13="In Progress",0.5,IF(L13="Blocked",0.25,0))))</f>
        <v>0</v>
      </c>
      <c r="S13" s="23"/>
    </row>
    <row r="14" customFormat="false" ht="91.5" hidden="false" customHeight="true" outlineLevel="0" collapsed="false">
      <c r="A14" s="21" t="n">
        <v>3</v>
      </c>
      <c r="B14" s="22" t="s">
        <v>13</v>
      </c>
      <c r="C14" s="23" t="s">
        <v>121</v>
      </c>
      <c r="D14" s="23" t="s">
        <v>122</v>
      </c>
      <c r="E14" s="23" t="s">
        <v>123</v>
      </c>
      <c r="F14" s="23" t="s">
        <v>124</v>
      </c>
      <c r="G14" s="23" t="s">
        <v>125</v>
      </c>
      <c r="H14" s="23" t="s">
        <v>65</v>
      </c>
      <c r="I14" s="23" t="s">
        <v>126</v>
      </c>
      <c r="J14" s="24" t="s">
        <v>127</v>
      </c>
      <c r="K14" s="25" t="s">
        <v>58</v>
      </c>
      <c r="L14" s="25" t="s">
        <v>59</v>
      </c>
      <c r="M14" s="25"/>
      <c r="N14" s="25"/>
      <c r="O14" s="25"/>
      <c r="P14" s="26" t="str">
        <f aca="false">IF(Dashboard!$B$4="","",Dashboard!$B$4+(A14-1)*7)</f>
        <v/>
      </c>
      <c r="Q14" s="26" t="str">
        <f aca="false">IF(P14="","",P14+6)</f>
        <v/>
      </c>
      <c r="R14" s="27" t="n">
        <f aca="false">IF(L14="Complete",1,IF(L14="Review",0.75,IF(L14="In Progress",0.5,IF(L14="Blocked",0.25,0))))</f>
        <v>0</v>
      </c>
      <c r="S14" s="23"/>
    </row>
    <row r="15" customFormat="false" ht="91.5" hidden="false" customHeight="true" outlineLevel="0" collapsed="false">
      <c r="A15" s="21" t="n">
        <v>3</v>
      </c>
      <c r="B15" s="22" t="s">
        <v>13</v>
      </c>
      <c r="C15" s="23" t="s">
        <v>128</v>
      </c>
      <c r="D15" s="23" t="s">
        <v>129</v>
      </c>
      <c r="E15" s="23" t="s">
        <v>130</v>
      </c>
      <c r="F15" s="23" t="s">
        <v>131</v>
      </c>
      <c r="G15" s="23" t="s">
        <v>132</v>
      </c>
      <c r="H15" s="23" t="s">
        <v>65</v>
      </c>
      <c r="I15" s="23" t="s">
        <v>133</v>
      </c>
      <c r="J15" s="24" t="s">
        <v>134</v>
      </c>
      <c r="K15" s="25" t="s">
        <v>58</v>
      </c>
      <c r="L15" s="25" t="s">
        <v>59</v>
      </c>
      <c r="M15" s="25"/>
      <c r="N15" s="25"/>
      <c r="O15" s="25"/>
      <c r="P15" s="26" t="str">
        <f aca="false">IF(Dashboard!$B$4="","",Dashboard!$B$4+(A15-1)*7)</f>
        <v/>
      </c>
      <c r="Q15" s="26" t="str">
        <f aca="false">IF(P15="","",P15+6)</f>
        <v/>
      </c>
      <c r="R15" s="27" t="n">
        <f aca="false">IF(L15="Complete",1,IF(L15="Review",0.75,IF(L15="In Progress",0.5,IF(L15="Blocked",0.25,0))))</f>
        <v>0</v>
      </c>
      <c r="S15" s="23"/>
    </row>
    <row r="16" customFormat="false" ht="91.5" hidden="false" customHeight="true" outlineLevel="0" collapsed="false">
      <c r="A16" s="21" t="n">
        <v>4</v>
      </c>
      <c r="B16" s="28" t="s">
        <v>15</v>
      </c>
      <c r="C16" s="29" t="s">
        <v>135</v>
      </c>
      <c r="D16" s="29" t="s">
        <v>136</v>
      </c>
      <c r="E16" s="29" t="s">
        <v>137</v>
      </c>
      <c r="F16" s="29" t="s">
        <v>138</v>
      </c>
      <c r="G16" s="29" t="s">
        <v>139</v>
      </c>
      <c r="H16" s="29" t="s">
        <v>65</v>
      </c>
      <c r="I16" s="29" t="s">
        <v>140</v>
      </c>
      <c r="J16" s="24" t="s">
        <v>141</v>
      </c>
      <c r="K16" s="30" t="s">
        <v>83</v>
      </c>
      <c r="L16" s="30" t="s">
        <v>59</v>
      </c>
      <c r="M16" s="30"/>
      <c r="N16" s="30"/>
      <c r="O16" s="30"/>
      <c r="P16" s="31" t="str">
        <f aca="false">IF(Dashboard!$B$4="","",Dashboard!$B$4+(A16-1)*7)</f>
        <v/>
      </c>
      <c r="Q16" s="31" t="str">
        <f aca="false">IF(P16="","",P16+6)</f>
        <v/>
      </c>
      <c r="R16" s="32" t="n">
        <f aca="false">IF(L16="Complete",1,IF(L16="Review",0.75,IF(L16="In Progress",0.5,IF(L16="Blocked",0.25,0))))</f>
        <v>0</v>
      </c>
      <c r="S16" s="29"/>
    </row>
    <row r="17" customFormat="false" ht="91.5" hidden="false" customHeight="true" outlineLevel="0" collapsed="false">
      <c r="A17" s="21" t="n">
        <v>4</v>
      </c>
      <c r="B17" s="28" t="s">
        <v>15</v>
      </c>
      <c r="C17" s="29" t="s">
        <v>142</v>
      </c>
      <c r="D17" s="29" t="s">
        <v>143</v>
      </c>
      <c r="E17" s="29" t="s">
        <v>144</v>
      </c>
      <c r="F17" s="29" t="s">
        <v>145</v>
      </c>
      <c r="G17" s="29" t="s">
        <v>146</v>
      </c>
      <c r="H17" s="29" t="s">
        <v>147</v>
      </c>
      <c r="I17" s="29" t="s">
        <v>148</v>
      </c>
      <c r="J17" s="24" t="s">
        <v>149</v>
      </c>
      <c r="K17" s="30" t="s">
        <v>83</v>
      </c>
      <c r="L17" s="30" t="s">
        <v>59</v>
      </c>
      <c r="M17" s="30"/>
      <c r="N17" s="30"/>
      <c r="O17" s="30"/>
      <c r="P17" s="31" t="str">
        <f aca="false">IF(Dashboard!$B$4="","",Dashboard!$B$4+(A17-1)*7)</f>
        <v/>
      </c>
      <c r="Q17" s="31" t="str">
        <f aca="false">IF(P17="","",P17+6)</f>
        <v/>
      </c>
      <c r="R17" s="32" t="n">
        <f aca="false">IF(L17="Complete",1,IF(L17="Review",0.75,IF(L17="In Progress",0.5,IF(L17="Blocked",0.25,0))))</f>
        <v>0</v>
      </c>
      <c r="S17" s="29"/>
    </row>
    <row r="18" customFormat="false" ht="91.5" hidden="false" customHeight="true" outlineLevel="0" collapsed="false">
      <c r="A18" s="21" t="n">
        <v>4</v>
      </c>
      <c r="B18" s="28" t="s">
        <v>15</v>
      </c>
      <c r="C18" s="29" t="s">
        <v>150</v>
      </c>
      <c r="D18" s="29" t="s">
        <v>151</v>
      </c>
      <c r="E18" s="29" t="s">
        <v>152</v>
      </c>
      <c r="F18" s="29" t="s">
        <v>153</v>
      </c>
      <c r="G18" s="29" t="s">
        <v>154</v>
      </c>
      <c r="H18" s="29" t="s">
        <v>155</v>
      </c>
      <c r="I18" s="29" t="s">
        <v>156</v>
      </c>
      <c r="J18" s="24" t="s">
        <v>157</v>
      </c>
      <c r="K18" s="30" t="s">
        <v>58</v>
      </c>
      <c r="L18" s="30" t="s">
        <v>59</v>
      </c>
      <c r="M18" s="30"/>
      <c r="N18" s="30"/>
      <c r="O18" s="30"/>
      <c r="P18" s="31" t="str">
        <f aca="false">IF(Dashboard!$B$4="","",Dashboard!$B$4+(A18-1)*7)</f>
        <v/>
      </c>
      <c r="Q18" s="31" t="str">
        <f aca="false">IF(P18="","",P18+6)</f>
        <v/>
      </c>
      <c r="R18" s="32" t="n">
        <f aca="false">IF(L18="Complete",1,IF(L18="Review",0.75,IF(L18="In Progress",0.5,IF(L18="Blocked",0.25,0))))</f>
        <v>0</v>
      </c>
      <c r="S18" s="29"/>
    </row>
    <row r="19" customFormat="false" ht="91.5" hidden="false" customHeight="true" outlineLevel="0" collapsed="false">
      <c r="A19" s="21" t="n">
        <v>4</v>
      </c>
      <c r="B19" s="28" t="s">
        <v>15</v>
      </c>
      <c r="C19" s="29" t="s">
        <v>158</v>
      </c>
      <c r="D19" s="29" t="s">
        <v>159</v>
      </c>
      <c r="E19" s="29" t="s">
        <v>160</v>
      </c>
      <c r="F19" s="29" t="s">
        <v>161</v>
      </c>
      <c r="G19" s="29" t="s">
        <v>162</v>
      </c>
      <c r="H19" s="29" t="s">
        <v>163</v>
      </c>
      <c r="I19" s="29" t="s">
        <v>164</v>
      </c>
      <c r="J19" s="24" t="s">
        <v>165</v>
      </c>
      <c r="K19" s="30" t="s">
        <v>83</v>
      </c>
      <c r="L19" s="30" t="s">
        <v>59</v>
      </c>
      <c r="M19" s="30"/>
      <c r="N19" s="30"/>
      <c r="O19" s="30"/>
      <c r="P19" s="31" t="str">
        <f aca="false">IF(Dashboard!$B$4="","",Dashboard!$B$4+(A19-1)*7)</f>
        <v/>
      </c>
      <c r="Q19" s="31" t="str">
        <f aca="false">IF(P19="","",P19+6)</f>
        <v/>
      </c>
      <c r="R19" s="32" t="n">
        <f aca="false">IF(L19="Complete",1,IF(L19="Review",0.75,IF(L19="In Progress",0.5,IF(L19="Blocked",0.25,0))))</f>
        <v>0</v>
      </c>
      <c r="S19" s="29"/>
    </row>
    <row r="20" customFormat="false" ht="91.5" hidden="false" customHeight="true" outlineLevel="0" collapsed="false">
      <c r="A20" s="21" t="n">
        <v>5</v>
      </c>
      <c r="B20" s="22" t="s">
        <v>16</v>
      </c>
      <c r="C20" s="23" t="s">
        <v>166</v>
      </c>
      <c r="D20" s="23" t="s">
        <v>167</v>
      </c>
      <c r="E20" s="23" t="s">
        <v>168</v>
      </c>
      <c r="F20" s="23" t="s">
        <v>169</v>
      </c>
      <c r="G20" s="23" t="s">
        <v>170</v>
      </c>
      <c r="H20" s="23" t="s">
        <v>171</v>
      </c>
      <c r="I20" s="23" t="s">
        <v>172</v>
      </c>
      <c r="J20" s="24" t="s">
        <v>173</v>
      </c>
      <c r="K20" s="25" t="s">
        <v>58</v>
      </c>
      <c r="L20" s="25" t="s">
        <v>59</v>
      </c>
      <c r="M20" s="25"/>
      <c r="N20" s="25"/>
      <c r="O20" s="25"/>
      <c r="P20" s="26" t="str">
        <f aca="false">IF(Dashboard!$B$4="","",Dashboard!$B$4+(A20-1)*7)</f>
        <v/>
      </c>
      <c r="Q20" s="26" t="str">
        <f aca="false">IF(P20="","",P20+6)</f>
        <v/>
      </c>
      <c r="R20" s="27" t="n">
        <f aca="false">IF(L20="Complete",1,IF(L20="Review",0.75,IF(L20="In Progress",0.5,IF(L20="Blocked",0.25,0))))</f>
        <v>0</v>
      </c>
      <c r="S20" s="23"/>
    </row>
    <row r="21" customFormat="false" ht="91.5" hidden="false" customHeight="true" outlineLevel="0" collapsed="false">
      <c r="A21" s="21" t="n">
        <v>5</v>
      </c>
      <c r="B21" s="22" t="s">
        <v>16</v>
      </c>
      <c r="C21" s="23" t="s">
        <v>174</v>
      </c>
      <c r="D21" s="23" t="s">
        <v>175</v>
      </c>
      <c r="E21" s="23" t="s">
        <v>176</v>
      </c>
      <c r="F21" s="23" t="s">
        <v>177</v>
      </c>
      <c r="G21" s="23" t="s">
        <v>178</v>
      </c>
      <c r="H21" s="23" t="s">
        <v>147</v>
      </c>
      <c r="I21" s="23" t="s">
        <v>179</v>
      </c>
      <c r="J21" s="24" t="s">
        <v>180</v>
      </c>
      <c r="K21" s="25" t="s">
        <v>58</v>
      </c>
      <c r="L21" s="25" t="s">
        <v>59</v>
      </c>
      <c r="M21" s="25"/>
      <c r="N21" s="25"/>
      <c r="O21" s="25"/>
      <c r="P21" s="26" t="str">
        <f aca="false">IF(Dashboard!$B$4="","",Dashboard!$B$4+(A21-1)*7)</f>
        <v/>
      </c>
      <c r="Q21" s="26" t="str">
        <f aca="false">IF(P21="","",P21+6)</f>
        <v/>
      </c>
      <c r="R21" s="27" t="n">
        <f aca="false">IF(L21="Complete",1,IF(L21="Review",0.75,IF(L21="In Progress",0.5,IF(L21="Blocked",0.25,0))))</f>
        <v>0</v>
      </c>
      <c r="S21" s="23"/>
    </row>
    <row r="22" customFormat="false" ht="91.5" hidden="false" customHeight="true" outlineLevel="0" collapsed="false">
      <c r="A22" s="21" t="n">
        <v>5</v>
      </c>
      <c r="B22" s="22" t="s">
        <v>16</v>
      </c>
      <c r="C22" s="23" t="s">
        <v>181</v>
      </c>
      <c r="D22" s="23" t="s">
        <v>182</v>
      </c>
      <c r="E22" s="23" t="s">
        <v>183</v>
      </c>
      <c r="F22" s="23" t="s">
        <v>184</v>
      </c>
      <c r="G22" s="23" t="s">
        <v>185</v>
      </c>
      <c r="H22" s="23" t="s">
        <v>163</v>
      </c>
      <c r="I22" s="23" t="s">
        <v>186</v>
      </c>
      <c r="J22" s="24" t="s">
        <v>187</v>
      </c>
      <c r="K22" s="25" t="s">
        <v>58</v>
      </c>
      <c r="L22" s="25" t="s">
        <v>59</v>
      </c>
      <c r="M22" s="25"/>
      <c r="N22" s="25"/>
      <c r="O22" s="25"/>
      <c r="P22" s="26" t="str">
        <f aca="false">IF(Dashboard!$B$4="","",Dashboard!$B$4+(A22-1)*7)</f>
        <v/>
      </c>
      <c r="Q22" s="26" t="str">
        <f aca="false">IF(P22="","",P22+6)</f>
        <v/>
      </c>
      <c r="R22" s="27" t="n">
        <f aca="false">IF(L22="Complete",1,IF(L22="Review",0.75,IF(L22="In Progress",0.5,IF(L22="Blocked",0.25,0))))</f>
        <v>0</v>
      </c>
      <c r="S22" s="23"/>
    </row>
    <row r="23" customFormat="false" ht="91.5" hidden="false" customHeight="true" outlineLevel="0" collapsed="false">
      <c r="A23" s="21" t="n">
        <v>5</v>
      </c>
      <c r="B23" s="22" t="s">
        <v>16</v>
      </c>
      <c r="C23" s="23" t="s">
        <v>188</v>
      </c>
      <c r="D23" s="23" t="s">
        <v>189</v>
      </c>
      <c r="E23" s="23" t="s">
        <v>190</v>
      </c>
      <c r="F23" s="23" t="s">
        <v>191</v>
      </c>
      <c r="G23" s="23" t="s">
        <v>192</v>
      </c>
      <c r="H23" s="23" t="s">
        <v>193</v>
      </c>
      <c r="I23" s="23" t="s">
        <v>194</v>
      </c>
      <c r="J23" s="24" t="s">
        <v>195</v>
      </c>
      <c r="K23" s="25" t="s">
        <v>58</v>
      </c>
      <c r="L23" s="25" t="s">
        <v>59</v>
      </c>
      <c r="M23" s="25"/>
      <c r="N23" s="25"/>
      <c r="O23" s="25"/>
      <c r="P23" s="26" t="str">
        <f aca="false">IF(Dashboard!$B$4="","",Dashboard!$B$4+(A23-1)*7)</f>
        <v/>
      </c>
      <c r="Q23" s="26" t="str">
        <f aca="false">IF(P23="","",P23+6)</f>
        <v/>
      </c>
      <c r="R23" s="27" t="n">
        <f aca="false">IF(L23="Complete",1,IF(L23="Review",0.75,IF(L23="In Progress",0.5,IF(L23="Blocked",0.25,0))))</f>
        <v>0</v>
      </c>
      <c r="S23" s="23"/>
    </row>
    <row r="24" customFormat="false" ht="91.5" hidden="false" customHeight="true" outlineLevel="0" collapsed="false">
      <c r="A24" s="33" t="n">
        <v>6</v>
      </c>
      <c r="B24" s="34" t="s">
        <v>19</v>
      </c>
      <c r="C24" s="35" t="s">
        <v>196</v>
      </c>
      <c r="D24" s="35" t="s">
        <v>197</v>
      </c>
      <c r="E24" s="35" t="s">
        <v>198</v>
      </c>
      <c r="F24" s="35" t="s">
        <v>199</v>
      </c>
      <c r="G24" s="35" t="s">
        <v>200</v>
      </c>
      <c r="H24" s="35" t="s">
        <v>201</v>
      </c>
      <c r="I24" s="35" t="s">
        <v>202</v>
      </c>
      <c r="J24" s="35" t="s">
        <v>203</v>
      </c>
      <c r="K24" s="36" t="s">
        <v>58</v>
      </c>
      <c r="L24" s="36" t="s">
        <v>59</v>
      </c>
      <c r="M24" s="36"/>
      <c r="N24" s="36"/>
      <c r="O24" s="36"/>
      <c r="P24" s="37" t="str">
        <f aca="false">IF(Dashboard!$B$4="","",Dashboard!$B$4+(A24-1)*7)</f>
        <v/>
      </c>
      <c r="Q24" s="37" t="str">
        <f aca="false">IF(P24="","",P24+6)</f>
        <v/>
      </c>
      <c r="R24" s="38" t="n">
        <f aca="false">IF(L24="Complete",1,IF(L24="Review",0.75,IF(L24="In Progress",0.5,IF(L24="Blocked",0.25,0))))</f>
        <v>0</v>
      </c>
      <c r="S24" s="35"/>
    </row>
    <row r="25" customFormat="false" ht="91.5" hidden="false" customHeight="true" outlineLevel="0" collapsed="false">
      <c r="A25" s="33" t="n">
        <v>6</v>
      </c>
      <c r="B25" s="34" t="s">
        <v>19</v>
      </c>
      <c r="C25" s="35" t="s">
        <v>204</v>
      </c>
      <c r="D25" s="35" t="s">
        <v>205</v>
      </c>
      <c r="E25" s="35" t="s">
        <v>206</v>
      </c>
      <c r="F25" s="35" t="s">
        <v>207</v>
      </c>
      <c r="G25" s="35" t="s">
        <v>208</v>
      </c>
      <c r="H25" s="35" t="s">
        <v>201</v>
      </c>
      <c r="I25" s="35" t="s">
        <v>209</v>
      </c>
      <c r="J25" s="35" t="s">
        <v>210</v>
      </c>
      <c r="K25" s="36" t="s">
        <v>58</v>
      </c>
      <c r="L25" s="36" t="s">
        <v>59</v>
      </c>
      <c r="M25" s="36"/>
      <c r="N25" s="36"/>
      <c r="O25" s="36"/>
      <c r="P25" s="37" t="str">
        <f aca="false">IF(Dashboard!$B$4="","",Dashboard!$B$4+(A25-1)*7)</f>
        <v/>
      </c>
      <c r="Q25" s="37" t="str">
        <f aca="false">IF(P25="","",P25+6)</f>
        <v/>
      </c>
      <c r="R25" s="38" t="n">
        <f aca="false">IF(L25="Complete",1,IF(L25="Review",0.75,IF(L25="In Progress",0.5,IF(L25="Blocked",0.25,0))))</f>
        <v>0</v>
      </c>
      <c r="S25" s="35"/>
    </row>
    <row r="26" customFormat="false" ht="91.5" hidden="false" customHeight="true" outlineLevel="0" collapsed="false">
      <c r="A26" s="33" t="n">
        <v>6</v>
      </c>
      <c r="B26" s="34" t="s">
        <v>19</v>
      </c>
      <c r="C26" s="35" t="s">
        <v>211</v>
      </c>
      <c r="D26" s="35" t="s">
        <v>212</v>
      </c>
      <c r="E26" s="35" t="s">
        <v>213</v>
      </c>
      <c r="F26" s="35" t="s">
        <v>214</v>
      </c>
      <c r="G26" s="35" t="s">
        <v>215</v>
      </c>
      <c r="H26" s="35" t="s">
        <v>201</v>
      </c>
      <c r="I26" s="35" t="s">
        <v>216</v>
      </c>
      <c r="J26" s="35" t="s">
        <v>217</v>
      </c>
      <c r="K26" s="36" t="s">
        <v>83</v>
      </c>
      <c r="L26" s="36" t="s">
        <v>59</v>
      </c>
      <c r="M26" s="36"/>
      <c r="N26" s="36"/>
      <c r="O26" s="36"/>
      <c r="P26" s="37" t="str">
        <f aca="false">IF(Dashboard!$B$4="","",Dashboard!$B$4+(A26-1)*7)</f>
        <v/>
      </c>
      <c r="Q26" s="37" t="str">
        <f aca="false">IF(P26="","",P26+6)</f>
        <v/>
      </c>
      <c r="R26" s="38" t="n">
        <f aca="false">IF(L26="Complete",1,IF(L26="Review",0.75,IF(L26="In Progress",0.5,IF(L26="Blocked",0.25,0))))</f>
        <v>0</v>
      </c>
      <c r="S26" s="35"/>
    </row>
    <row r="27" customFormat="false" ht="91.5" hidden="false" customHeight="true" outlineLevel="0" collapsed="false">
      <c r="A27" s="33" t="n">
        <v>6</v>
      </c>
      <c r="B27" s="34" t="s">
        <v>19</v>
      </c>
      <c r="C27" s="35" t="s">
        <v>218</v>
      </c>
      <c r="D27" s="35" t="s">
        <v>219</v>
      </c>
      <c r="E27" s="35" t="s">
        <v>220</v>
      </c>
      <c r="F27" s="35" t="s">
        <v>221</v>
      </c>
      <c r="G27" s="35" t="s">
        <v>222</v>
      </c>
      <c r="H27" s="35" t="s">
        <v>223</v>
      </c>
      <c r="I27" s="35" t="s">
        <v>224</v>
      </c>
      <c r="J27" s="35" t="s">
        <v>225</v>
      </c>
      <c r="K27" s="36" t="s">
        <v>83</v>
      </c>
      <c r="L27" s="36" t="s">
        <v>59</v>
      </c>
      <c r="M27" s="36"/>
      <c r="N27" s="36"/>
      <c r="O27" s="36"/>
      <c r="P27" s="37" t="str">
        <f aca="false">IF(Dashboard!$B$4="","",Dashboard!$B$4+(A27-1)*7)</f>
        <v/>
      </c>
      <c r="Q27" s="37" t="str">
        <f aca="false">IF(P27="","",P27+6)</f>
        <v/>
      </c>
      <c r="R27" s="38" t="n">
        <f aca="false">IF(L27="Complete",1,IF(L27="Review",0.75,IF(L27="In Progress",0.5,IF(L27="Blocked",0.25,0))))</f>
        <v>0</v>
      </c>
      <c r="S27" s="35"/>
    </row>
    <row r="28" customFormat="false" ht="91.5" hidden="false" customHeight="true" outlineLevel="0" collapsed="false">
      <c r="A28" s="21" t="n">
        <v>7</v>
      </c>
      <c r="B28" s="22" t="s">
        <v>21</v>
      </c>
      <c r="C28" s="23" t="s">
        <v>226</v>
      </c>
      <c r="D28" s="23" t="s">
        <v>227</v>
      </c>
      <c r="E28" s="23" t="s">
        <v>228</v>
      </c>
      <c r="F28" s="23" t="s">
        <v>229</v>
      </c>
      <c r="G28" s="23" t="s">
        <v>230</v>
      </c>
      <c r="H28" s="23" t="s">
        <v>147</v>
      </c>
      <c r="I28" s="23" t="s">
        <v>231</v>
      </c>
      <c r="J28" s="24" t="s">
        <v>232</v>
      </c>
      <c r="K28" s="25" t="s">
        <v>58</v>
      </c>
      <c r="L28" s="25" t="s">
        <v>59</v>
      </c>
      <c r="M28" s="25"/>
      <c r="N28" s="25"/>
      <c r="O28" s="25"/>
      <c r="P28" s="26" t="str">
        <f aca="false">IF(Dashboard!$B$4="","",Dashboard!$B$4+(A28-1)*7)</f>
        <v/>
      </c>
      <c r="Q28" s="26" t="str">
        <f aca="false">IF(P28="","",P28+6)</f>
        <v/>
      </c>
      <c r="R28" s="27" t="n">
        <f aca="false">IF(L28="Complete",1,IF(L28="Review",0.75,IF(L28="In Progress",0.5,IF(L28="Blocked",0.25,0))))</f>
        <v>0</v>
      </c>
      <c r="S28" s="23"/>
    </row>
    <row r="29" customFormat="false" ht="91.5" hidden="false" customHeight="true" outlineLevel="0" collapsed="false">
      <c r="A29" s="21" t="n">
        <v>7</v>
      </c>
      <c r="B29" s="22" t="s">
        <v>21</v>
      </c>
      <c r="C29" s="23" t="s">
        <v>233</v>
      </c>
      <c r="D29" s="23" t="s">
        <v>234</v>
      </c>
      <c r="E29" s="23" t="s">
        <v>235</v>
      </c>
      <c r="F29" s="23" t="s">
        <v>236</v>
      </c>
      <c r="G29" s="23" t="s">
        <v>237</v>
      </c>
      <c r="H29" s="23" t="s">
        <v>147</v>
      </c>
      <c r="I29" s="23" t="s">
        <v>238</v>
      </c>
      <c r="J29" s="24" t="s">
        <v>239</v>
      </c>
      <c r="K29" s="25" t="s">
        <v>58</v>
      </c>
      <c r="L29" s="25" t="s">
        <v>59</v>
      </c>
      <c r="M29" s="25"/>
      <c r="N29" s="25"/>
      <c r="O29" s="25"/>
      <c r="P29" s="26" t="str">
        <f aca="false">IF(Dashboard!$B$4="","",Dashboard!$B$4+(A29-1)*7)</f>
        <v/>
      </c>
      <c r="Q29" s="26" t="str">
        <f aca="false">IF(P29="","",P29+6)</f>
        <v/>
      </c>
      <c r="R29" s="27" t="n">
        <f aca="false">IF(L29="Complete",1,IF(L29="Review",0.75,IF(L29="In Progress",0.5,IF(L29="Blocked",0.25,0))))</f>
        <v>0</v>
      </c>
      <c r="S29" s="23"/>
    </row>
    <row r="30" customFormat="false" ht="91.5" hidden="false" customHeight="true" outlineLevel="0" collapsed="false">
      <c r="A30" s="21" t="n">
        <v>7</v>
      </c>
      <c r="B30" s="22" t="s">
        <v>21</v>
      </c>
      <c r="C30" s="23" t="s">
        <v>240</v>
      </c>
      <c r="D30" s="23" t="s">
        <v>241</v>
      </c>
      <c r="E30" s="23" t="s">
        <v>242</v>
      </c>
      <c r="F30" s="23" t="s">
        <v>243</v>
      </c>
      <c r="G30" s="23" t="s">
        <v>244</v>
      </c>
      <c r="H30" s="23" t="s">
        <v>245</v>
      </c>
      <c r="I30" s="23" t="s">
        <v>246</v>
      </c>
      <c r="J30" s="24" t="s">
        <v>247</v>
      </c>
      <c r="K30" s="25" t="s">
        <v>58</v>
      </c>
      <c r="L30" s="25" t="s">
        <v>59</v>
      </c>
      <c r="M30" s="25"/>
      <c r="N30" s="25"/>
      <c r="O30" s="25"/>
      <c r="P30" s="26" t="str">
        <f aca="false">IF(Dashboard!$B$4="","",Dashboard!$B$4+(A30-1)*7)</f>
        <v/>
      </c>
      <c r="Q30" s="26" t="str">
        <f aca="false">IF(P30="","",P30+6)</f>
        <v/>
      </c>
      <c r="R30" s="27" t="n">
        <f aca="false">IF(L30="Complete",1,IF(L30="Review",0.75,IF(L30="In Progress",0.5,IF(L30="Blocked",0.25,0))))</f>
        <v>0</v>
      </c>
      <c r="S30" s="23"/>
    </row>
    <row r="31" customFormat="false" ht="91.5" hidden="false" customHeight="true" outlineLevel="0" collapsed="false">
      <c r="A31" s="21" t="n">
        <v>7</v>
      </c>
      <c r="B31" s="22" t="s">
        <v>21</v>
      </c>
      <c r="C31" s="23" t="s">
        <v>248</v>
      </c>
      <c r="D31" s="23" t="s">
        <v>249</v>
      </c>
      <c r="E31" s="23" t="s">
        <v>250</v>
      </c>
      <c r="F31" s="23" t="s">
        <v>251</v>
      </c>
      <c r="G31" s="23" t="s">
        <v>252</v>
      </c>
      <c r="H31" s="23" t="s">
        <v>245</v>
      </c>
      <c r="I31" s="23" t="s">
        <v>253</v>
      </c>
      <c r="J31" s="24" t="s">
        <v>254</v>
      </c>
      <c r="K31" s="25" t="s">
        <v>58</v>
      </c>
      <c r="L31" s="25" t="s">
        <v>59</v>
      </c>
      <c r="M31" s="25"/>
      <c r="N31" s="25"/>
      <c r="O31" s="25"/>
      <c r="P31" s="26" t="str">
        <f aca="false">IF(Dashboard!$B$4="","",Dashboard!$B$4+(A31-1)*7)</f>
        <v/>
      </c>
      <c r="Q31" s="26" t="str">
        <f aca="false">IF(P31="","",P31+6)</f>
        <v/>
      </c>
      <c r="R31" s="27" t="n">
        <f aca="false">IF(L31="Complete",1,IF(L31="Review",0.75,IF(L31="In Progress",0.5,IF(L31="Blocked",0.25,0))))</f>
        <v>0</v>
      </c>
      <c r="S31" s="23"/>
    </row>
    <row r="32" customFormat="false" ht="91.5" hidden="false" customHeight="true" outlineLevel="0" collapsed="false">
      <c r="A32" s="33" t="n">
        <v>7</v>
      </c>
      <c r="B32" s="34" t="s">
        <v>21</v>
      </c>
      <c r="C32" s="35" t="s">
        <v>255</v>
      </c>
      <c r="D32" s="35" t="s">
        <v>256</v>
      </c>
      <c r="E32" s="35" t="s">
        <v>257</v>
      </c>
      <c r="F32" s="35" t="s">
        <v>258</v>
      </c>
      <c r="G32" s="35" t="s">
        <v>259</v>
      </c>
      <c r="H32" s="35" t="s">
        <v>163</v>
      </c>
      <c r="I32" s="35" t="s">
        <v>260</v>
      </c>
      <c r="J32" s="35" t="s">
        <v>261</v>
      </c>
      <c r="K32" s="36" t="s">
        <v>58</v>
      </c>
      <c r="L32" s="36" t="s">
        <v>59</v>
      </c>
      <c r="M32" s="36"/>
      <c r="N32" s="36"/>
      <c r="O32" s="36"/>
      <c r="P32" s="37" t="str">
        <f aca="false">IF(Dashboard!$B$4="","",Dashboard!$B$4+(A32-1)*7)</f>
        <v/>
      </c>
      <c r="Q32" s="37" t="str">
        <f aca="false">IF(P32="","",P32+6)</f>
        <v/>
      </c>
      <c r="R32" s="38" t="n">
        <f aca="false">IF(L32="Complete",1,IF(L32="Review",0.75,IF(L32="In Progress",0.5,IF(L32="Blocked",0.25,0))))</f>
        <v>0</v>
      </c>
      <c r="S32" s="35"/>
    </row>
    <row r="33" customFormat="false" ht="91.5" hidden="false" customHeight="true" outlineLevel="0" collapsed="false">
      <c r="A33" s="21" t="n">
        <v>8</v>
      </c>
      <c r="B33" s="28" t="s">
        <v>24</v>
      </c>
      <c r="C33" s="29" t="s">
        <v>262</v>
      </c>
      <c r="D33" s="29" t="s">
        <v>263</v>
      </c>
      <c r="E33" s="29" t="s">
        <v>264</v>
      </c>
      <c r="F33" s="29" t="s">
        <v>265</v>
      </c>
      <c r="G33" s="29" t="s">
        <v>266</v>
      </c>
      <c r="H33" s="29" t="s">
        <v>267</v>
      </c>
      <c r="I33" s="29" t="s">
        <v>268</v>
      </c>
      <c r="J33" s="24" t="s">
        <v>269</v>
      </c>
      <c r="K33" s="30" t="s">
        <v>58</v>
      </c>
      <c r="L33" s="30" t="s">
        <v>59</v>
      </c>
      <c r="M33" s="30"/>
      <c r="N33" s="30"/>
      <c r="O33" s="30"/>
      <c r="P33" s="31" t="str">
        <f aca="false">IF(Dashboard!$B$4="","",Dashboard!$B$4+(A33-1)*7)</f>
        <v/>
      </c>
      <c r="Q33" s="31" t="str">
        <f aca="false">IF(P33="","",P33+6)</f>
        <v/>
      </c>
      <c r="R33" s="32" t="n">
        <f aca="false">IF(L33="Complete",1,IF(L33="Review",0.75,IF(L33="In Progress",0.5,IF(L33="Blocked",0.25,0))))</f>
        <v>0</v>
      </c>
      <c r="S33" s="29"/>
    </row>
    <row r="34" customFormat="false" ht="91.5" hidden="false" customHeight="true" outlineLevel="0" collapsed="false">
      <c r="A34" s="21" t="n">
        <v>8</v>
      </c>
      <c r="B34" s="28" t="s">
        <v>24</v>
      </c>
      <c r="C34" s="29" t="s">
        <v>270</v>
      </c>
      <c r="D34" s="29" t="s">
        <v>271</v>
      </c>
      <c r="E34" s="29" t="s">
        <v>272</v>
      </c>
      <c r="F34" s="29" t="s">
        <v>273</v>
      </c>
      <c r="G34" s="29" t="s">
        <v>274</v>
      </c>
      <c r="H34" s="29" t="s">
        <v>28</v>
      </c>
      <c r="I34" s="29" t="s">
        <v>275</v>
      </c>
      <c r="J34" s="24" t="s">
        <v>276</v>
      </c>
      <c r="K34" s="30" t="s">
        <v>58</v>
      </c>
      <c r="L34" s="30" t="s">
        <v>59</v>
      </c>
      <c r="M34" s="30"/>
      <c r="N34" s="30"/>
      <c r="O34" s="30"/>
      <c r="P34" s="31" t="str">
        <f aca="false">IF(Dashboard!$B$4="","",Dashboard!$B$4+(A34-1)*7)</f>
        <v/>
      </c>
      <c r="Q34" s="31" t="str">
        <f aca="false">IF(P34="","",P34+6)</f>
        <v/>
      </c>
      <c r="R34" s="32" t="n">
        <f aca="false">IF(L34="Complete",1,IF(L34="Review",0.75,IF(L34="In Progress",0.5,IF(L34="Blocked",0.25,0))))</f>
        <v>0</v>
      </c>
      <c r="S34" s="29"/>
    </row>
    <row r="35" customFormat="false" ht="91.5" hidden="false" customHeight="true" outlineLevel="0" collapsed="false">
      <c r="A35" s="21" t="n">
        <v>8</v>
      </c>
      <c r="B35" s="28" t="s">
        <v>24</v>
      </c>
      <c r="C35" s="29" t="s">
        <v>277</v>
      </c>
      <c r="D35" s="29" t="s">
        <v>278</v>
      </c>
      <c r="E35" s="29" t="s">
        <v>279</v>
      </c>
      <c r="F35" s="29" t="s">
        <v>280</v>
      </c>
      <c r="G35" s="29" t="s">
        <v>281</v>
      </c>
      <c r="H35" s="29" t="s">
        <v>282</v>
      </c>
      <c r="I35" s="29" t="s">
        <v>283</v>
      </c>
      <c r="J35" s="24" t="s">
        <v>284</v>
      </c>
      <c r="K35" s="30" t="s">
        <v>58</v>
      </c>
      <c r="L35" s="30" t="s">
        <v>59</v>
      </c>
      <c r="M35" s="30"/>
      <c r="N35" s="30"/>
      <c r="O35" s="30"/>
      <c r="P35" s="31" t="str">
        <f aca="false">IF(Dashboard!$B$4="","",Dashboard!$B$4+(A35-1)*7)</f>
        <v/>
      </c>
      <c r="Q35" s="31" t="str">
        <f aca="false">IF(P35="","",P35+6)</f>
        <v/>
      </c>
      <c r="R35" s="32" t="n">
        <f aca="false">IF(L35="Complete",1,IF(L35="Review",0.75,IF(L35="In Progress",0.5,IF(L35="Blocked",0.25,0))))</f>
        <v>0</v>
      </c>
      <c r="S35" s="29"/>
    </row>
    <row r="36" customFormat="false" ht="91.5" hidden="false" customHeight="true" outlineLevel="0" collapsed="false">
      <c r="A36" s="21" t="n">
        <v>8</v>
      </c>
      <c r="B36" s="28" t="s">
        <v>24</v>
      </c>
      <c r="C36" s="29" t="s">
        <v>285</v>
      </c>
      <c r="D36" s="29" t="s">
        <v>286</v>
      </c>
      <c r="E36" s="29" t="s">
        <v>287</v>
      </c>
      <c r="F36" s="29" t="s">
        <v>288</v>
      </c>
      <c r="G36" s="29" t="s">
        <v>289</v>
      </c>
      <c r="H36" s="29" t="s">
        <v>290</v>
      </c>
      <c r="I36" s="29" t="s">
        <v>291</v>
      </c>
      <c r="J36" s="24" t="s">
        <v>292</v>
      </c>
      <c r="K36" s="30" t="s">
        <v>58</v>
      </c>
      <c r="L36" s="30" t="s">
        <v>59</v>
      </c>
      <c r="M36" s="30"/>
      <c r="N36" s="30"/>
      <c r="O36" s="30"/>
      <c r="P36" s="31" t="str">
        <f aca="false">IF(Dashboard!$B$4="","",Dashboard!$B$4+(A36-1)*7)</f>
        <v/>
      </c>
      <c r="Q36" s="31" t="str">
        <f aca="false">IF(P36="","",P36+6)</f>
        <v/>
      </c>
      <c r="R36" s="32" t="n">
        <f aca="false">IF(L36="Complete",1,IF(L36="Review",0.75,IF(L36="In Progress",0.5,IF(L36="Blocked",0.25,0))))</f>
        <v>0</v>
      </c>
      <c r="S36" s="29"/>
    </row>
    <row r="37" customFormat="false" ht="91.5" hidden="false" customHeight="true" outlineLevel="0" collapsed="false">
      <c r="A37" s="33" t="n">
        <v>8</v>
      </c>
      <c r="B37" s="34" t="s">
        <v>24</v>
      </c>
      <c r="C37" s="35" t="s">
        <v>293</v>
      </c>
      <c r="D37" s="35" t="s">
        <v>294</v>
      </c>
      <c r="E37" s="35" t="s">
        <v>295</v>
      </c>
      <c r="F37" s="35" t="s">
        <v>296</v>
      </c>
      <c r="G37" s="35" t="s">
        <v>297</v>
      </c>
      <c r="H37" s="35" t="s">
        <v>298</v>
      </c>
      <c r="I37" s="35" t="s">
        <v>299</v>
      </c>
      <c r="J37" s="35" t="s">
        <v>300</v>
      </c>
      <c r="K37" s="36" t="s">
        <v>58</v>
      </c>
      <c r="L37" s="36" t="s">
        <v>59</v>
      </c>
      <c r="M37" s="36"/>
      <c r="N37" s="36"/>
      <c r="O37" s="36"/>
      <c r="P37" s="37" t="str">
        <f aca="false">IF(Dashboard!$B$4="","",Dashboard!$B$4+(A37-1)*7)</f>
        <v/>
      </c>
      <c r="Q37" s="37" t="str">
        <f aca="false">IF(P37="","",P37+6)</f>
        <v/>
      </c>
      <c r="R37" s="38" t="n">
        <f aca="false">IF(L37="Complete",1,IF(L37="Review",0.75,IF(L37="In Progress",0.5,IF(L37="Blocked",0.25,0))))</f>
        <v>0</v>
      </c>
      <c r="S37" s="35"/>
    </row>
  </sheetData>
  <mergeCells count="2">
    <mergeCell ref="A1:S1"/>
    <mergeCell ref="A2:S2"/>
  </mergeCells>
  <conditionalFormatting sqref="R5:R3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3">
    <dataValidation allowBlank="true" errorStyle="stop" operator="between" showDropDown="false" showErrorMessage="false" showInputMessage="false" sqref="K5:K37" type="list">
      <formula1>"High,Medium,Low"</formula1>
      <formula2>0</formula2>
    </dataValidation>
    <dataValidation allowBlank="true" errorStyle="stop" operator="between" showDropDown="false" showErrorMessage="false" showInputMessage="false" sqref="L5:L37" type="list">
      <formula1>"Not Started,In Progress,Review,Blocked,Complete"</formula1>
      <formula2>0</formula2>
    </dataValidation>
    <dataValidation allowBlank="true" errorStyle="stop" operator="between" showDropDown="false" showErrorMessage="false" showInputMessage="false" sqref="M5:M37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8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34"/>
  </cols>
  <sheetData>
    <row r="1" customFormat="false" ht="17.35" hidden="false" customHeight="false" outlineLevel="0" collapsed="false">
      <c r="A1" s="18" t="s">
        <v>301</v>
      </c>
      <c r="B1" s="18"/>
      <c r="C1" s="18"/>
      <c r="D1" s="18"/>
      <c r="E1" s="18"/>
      <c r="F1" s="18"/>
    </row>
    <row r="3" customFormat="false" ht="23.85" hidden="false" customHeight="false" outlineLevel="0" collapsed="false">
      <c r="A3" s="20" t="s">
        <v>302</v>
      </c>
      <c r="B3" s="20" t="s">
        <v>303</v>
      </c>
      <c r="C3" s="20" t="s">
        <v>304</v>
      </c>
      <c r="D3" s="20" t="s">
        <v>305</v>
      </c>
      <c r="E3" s="20" t="s">
        <v>1</v>
      </c>
      <c r="F3" s="20" t="s">
        <v>49</v>
      </c>
    </row>
    <row r="4" customFormat="false" ht="57.75" hidden="false" customHeight="true" outlineLevel="0" collapsed="false">
      <c r="A4" s="39" t="n">
        <v>1</v>
      </c>
      <c r="B4" s="24" t="s">
        <v>306</v>
      </c>
      <c r="C4" s="24" t="s">
        <v>307</v>
      </c>
      <c r="D4" s="24" t="s">
        <v>308</v>
      </c>
      <c r="E4" s="40" t="s">
        <v>309</v>
      </c>
      <c r="F4" s="24" t="s">
        <v>310</v>
      </c>
    </row>
    <row r="5" customFormat="false" ht="57.75" hidden="false" customHeight="true" outlineLevel="0" collapsed="false">
      <c r="A5" s="41" t="n">
        <v>2</v>
      </c>
      <c r="B5" s="23" t="s">
        <v>311</v>
      </c>
      <c r="C5" s="23" t="s">
        <v>312</v>
      </c>
      <c r="D5" s="23" t="s">
        <v>313</v>
      </c>
      <c r="E5" s="42" t="s">
        <v>309</v>
      </c>
      <c r="F5" s="23" t="s">
        <v>314</v>
      </c>
    </row>
    <row r="6" customFormat="false" ht="57.75" hidden="false" customHeight="true" outlineLevel="0" collapsed="false">
      <c r="A6" s="39" t="n">
        <v>3</v>
      </c>
      <c r="B6" s="24" t="s">
        <v>315</v>
      </c>
      <c r="C6" s="24" t="s">
        <v>316</v>
      </c>
      <c r="D6" s="24" t="s">
        <v>317</v>
      </c>
      <c r="E6" s="40" t="s">
        <v>309</v>
      </c>
      <c r="F6" s="24" t="s">
        <v>318</v>
      </c>
    </row>
    <row r="7" customFormat="false" ht="57.75" hidden="false" customHeight="true" outlineLevel="0" collapsed="false">
      <c r="A7" s="41" t="n">
        <v>4</v>
      </c>
      <c r="B7" s="23" t="s">
        <v>319</v>
      </c>
      <c r="C7" s="23" t="s">
        <v>320</v>
      </c>
      <c r="D7" s="23" t="s">
        <v>321</v>
      </c>
      <c r="E7" s="42" t="s">
        <v>309</v>
      </c>
      <c r="F7" s="23" t="s">
        <v>322</v>
      </c>
    </row>
    <row r="8" customFormat="false" ht="57.75" hidden="false" customHeight="true" outlineLevel="0" collapsed="false">
      <c r="A8" s="39" t="n">
        <v>5</v>
      </c>
      <c r="B8" s="24" t="s">
        <v>323</v>
      </c>
      <c r="C8" s="24" t="s">
        <v>324</v>
      </c>
      <c r="D8" s="24" t="s">
        <v>325</v>
      </c>
      <c r="E8" s="40" t="s">
        <v>309</v>
      </c>
      <c r="F8" s="24" t="s">
        <v>326</v>
      </c>
    </row>
    <row r="9" customFormat="false" ht="57.75" hidden="false" customHeight="true" outlineLevel="0" collapsed="false">
      <c r="A9" s="41" t="n">
        <v>6</v>
      </c>
      <c r="B9" s="23" t="s">
        <v>327</v>
      </c>
      <c r="C9" s="23" t="s">
        <v>328</v>
      </c>
      <c r="D9" s="23" t="s">
        <v>329</v>
      </c>
      <c r="E9" s="42" t="s">
        <v>309</v>
      </c>
      <c r="F9" s="23" t="s">
        <v>330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6" min="4" style="0" width="26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7.35" hidden="false" customHeight="false" outlineLevel="0" collapsed="false">
      <c r="A1" s="18" t="s">
        <v>331</v>
      </c>
      <c r="B1" s="18"/>
      <c r="C1" s="18"/>
      <c r="D1" s="18"/>
      <c r="E1" s="18"/>
      <c r="F1" s="18"/>
      <c r="G1" s="18"/>
      <c r="H1" s="18"/>
    </row>
    <row r="3" customFormat="false" ht="15" hidden="false" customHeight="false" outlineLevel="0" collapsed="false">
      <c r="A3" s="20" t="s">
        <v>332</v>
      </c>
      <c r="B3" s="20" t="s">
        <v>333</v>
      </c>
      <c r="C3" s="20" t="s">
        <v>334</v>
      </c>
      <c r="D3" s="20" t="s">
        <v>335</v>
      </c>
      <c r="E3" s="20" t="s">
        <v>336</v>
      </c>
      <c r="F3" s="20" t="s">
        <v>337</v>
      </c>
      <c r="G3" s="20" t="s">
        <v>43</v>
      </c>
      <c r="H3" s="20" t="s">
        <v>49</v>
      </c>
    </row>
    <row r="4" customFormat="false" ht="33.75" hidden="false" customHeight="true" outlineLevel="0" collapsed="false">
      <c r="A4" s="39" t="n">
        <v>1</v>
      </c>
      <c r="B4" s="24" t="s">
        <v>338</v>
      </c>
      <c r="C4" s="24" t="s">
        <v>339</v>
      </c>
      <c r="D4" s="24" t="s">
        <v>340</v>
      </c>
      <c r="E4" s="24" t="s">
        <v>341</v>
      </c>
      <c r="F4" s="24" t="s">
        <v>342</v>
      </c>
      <c r="G4" s="43" t="s">
        <v>59</v>
      </c>
    </row>
    <row r="5" customFormat="false" ht="33.75" hidden="false" customHeight="true" outlineLevel="0" collapsed="false">
      <c r="A5" s="41" t="n">
        <v>2</v>
      </c>
      <c r="B5" s="23" t="s">
        <v>343</v>
      </c>
      <c r="C5" s="23" t="s">
        <v>344</v>
      </c>
      <c r="D5" s="23" t="s">
        <v>345</v>
      </c>
      <c r="E5" s="23" t="s">
        <v>346</v>
      </c>
      <c r="F5" s="23" t="s">
        <v>347</v>
      </c>
      <c r="G5" s="11" t="s">
        <v>59</v>
      </c>
    </row>
    <row r="6" customFormat="false" ht="33.75" hidden="false" customHeight="true" outlineLevel="0" collapsed="false">
      <c r="A6" s="39" t="n">
        <v>3</v>
      </c>
      <c r="B6" s="24" t="s">
        <v>348</v>
      </c>
      <c r="C6" s="24" t="s">
        <v>349</v>
      </c>
      <c r="D6" s="24" t="s">
        <v>350</v>
      </c>
      <c r="E6" s="24" t="s">
        <v>351</v>
      </c>
      <c r="F6" s="24" t="s">
        <v>352</v>
      </c>
      <c r="G6" s="43" t="s">
        <v>59</v>
      </c>
    </row>
    <row r="7" customFormat="false" ht="33.75" hidden="false" customHeight="true" outlineLevel="0" collapsed="false">
      <c r="A7" s="41" t="n">
        <v>4</v>
      </c>
      <c r="B7" s="23" t="s">
        <v>353</v>
      </c>
      <c r="C7" s="23" t="s">
        <v>354</v>
      </c>
      <c r="D7" s="23" t="s">
        <v>355</v>
      </c>
      <c r="E7" s="23" t="s">
        <v>356</v>
      </c>
      <c r="F7" s="23" t="s">
        <v>357</v>
      </c>
      <c r="G7" s="11" t="s">
        <v>59</v>
      </c>
    </row>
    <row r="8" customFormat="false" ht="33.75" hidden="false" customHeight="true" outlineLevel="0" collapsed="false">
      <c r="A8" s="39" t="n">
        <v>5</v>
      </c>
      <c r="B8" s="24" t="s">
        <v>358</v>
      </c>
      <c r="C8" s="24" t="s">
        <v>359</v>
      </c>
      <c r="D8" s="24" t="s">
        <v>360</v>
      </c>
      <c r="E8" s="24" t="s">
        <v>361</v>
      </c>
      <c r="F8" s="24" t="s">
        <v>362</v>
      </c>
      <c r="G8" s="43" t="s">
        <v>59</v>
      </c>
    </row>
    <row r="9" customFormat="false" ht="33.75" hidden="false" customHeight="true" outlineLevel="0" collapsed="false">
      <c r="A9" s="41" t="n">
        <v>6</v>
      </c>
      <c r="B9" s="23" t="s">
        <v>363</v>
      </c>
      <c r="C9" s="23" t="s">
        <v>364</v>
      </c>
      <c r="D9" s="23" t="s">
        <v>365</v>
      </c>
      <c r="E9" s="23" t="s">
        <v>366</v>
      </c>
      <c r="F9" s="23" t="s">
        <v>367</v>
      </c>
      <c r="G9" s="11" t="s">
        <v>59</v>
      </c>
    </row>
    <row r="10" customFormat="false" ht="33.75" hidden="false" customHeight="true" outlineLevel="0" collapsed="false">
      <c r="A10" s="39" t="n">
        <v>7</v>
      </c>
      <c r="B10" s="24" t="s">
        <v>368</v>
      </c>
      <c r="C10" s="24" t="s">
        <v>369</v>
      </c>
      <c r="D10" s="24" t="s">
        <v>370</v>
      </c>
      <c r="E10" s="24" t="s">
        <v>371</v>
      </c>
      <c r="F10" s="24" t="s">
        <v>372</v>
      </c>
      <c r="G10" s="43" t="s">
        <v>59</v>
      </c>
    </row>
    <row r="11" customFormat="false" ht="33.75" hidden="false" customHeight="true" outlineLevel="0" collapsed="false">
      <c r="A11" s="41" t="n">
        <v>8</v>
      </c>
      <c r="B11" s="23" t="s">
        <v>373</v>
      </c>
      <c r="C11" s="23" t="s">
        <v>374</v>
      </c>
      <c r="D11" s="23" t="s">
        <v>375</v>
      </c>
      <c r="E11" s="23" t="s">
        <v>376</v>
      </c>
      <c r="F11" s="23" t="s">
        <v>377</v>
      </c>
      <c r="G11" s="11" t="s">
        <v>59</v>
      </c>
    </row>
    <row r="12" customFormat="false" ht="33.75" hidden="false" customHeight="true" outlineLevel="0" collapsed="false">
      <c r="A12" s="39" t="n">
        <v>9</v>
      </c>
      <c r="B12" s="24" t="s">
        <v>378</v>
      </c>
      <c r="C12" s="24" t="s">
        <v>379</v>
      </c>
      <c r="D12" s="24" t="s">
        <v>380</v>
      </c>
      <c r="E12" s="24" t="s">
        <v>381</v>
      </c>
      <c r="F12" s="24" t="s">
        <v>382</v>
      </c>
      <c r="G12" s="43" t="s">
        <v>59</v>
      </c>
    </row>
    <row r="13" customFormat="false" ht="33.75" hidden="false" customHeight="true" outlineLevel="0" collapsed="false">
      <c r="A13" s="41" t="n">
        <v>10</v>
      </c>
      <c r="B13" s="23" t="s">
        <v>383</v>
      </c>
      <c r="C13" s="23" t="s">
        <v>384</v>
      </c>
      <c r="D13" s="23" t="s">
        <v>385</v>
      </c>
      <c r="E13" s="23" t="s">
        <v>386</v>
      </c>
      <c r="F13" s="23" t="s">
        <v>387</v>
      </c>
      <c r="G13" s="11" t="s">
        <v>59</v>
      </c>
    </row>
    <row r="14" customFormat="false" ht="33.75" hidden="false" customHeight="true" outlineLevel="0" collapsed="false">
      <c r="A14" s="39" t="n">
        <v>11</v>
      </c>
      <c r="B14" s="24" t="s">
        <v>388</v>
      </c>
      <c r="C14" s="24" t="s">
        <v>389</v>
      </c>
      <c r="D14" s="24" t="s">
        <v>390</v>
      </c>
      <c r="E14" s="24" t="s">
        <v>391</v>
      </c>
      <c r="F14" s="24" t="s">
        <v>392</v>
      </c>
      <c r="G14" s="43" t="s">
        <v>59</v>
      </c>
    </row>
  </sheetData>
  <mergeCells count="1">
    <mergeCell ref="A1:H1"/>
  </mergeCells>
  <dataValidations count="1">
    <dataValidation allowBlank="true" errorStyle="stop" operator="between" showDropDown="false" showErrorMessage="false" showInputMessage="false" sqref="G4:G14" type="list">
      <formula1>"Not Started,In Progress,Review,Blocked,Complete"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52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8" t="s">
        <v>393</v>
      </c>
      <c r="B1" s="18"/>
      <c r="C1" s="18"/>
      <c r="D1" s="18"/>
      <c r="E1" s="18"/>
      <c r="F1" s="18"/>
      <c r="G1" s="18"/>
    </row>
    <row r="3" customFormat="false" ht="15" hidden="false" customHeight="false" outlineLevel="0" collapsed="false">
      <c r="A3" s="20" t="s">
        <v>394</v>
      </c>
      <c r="B3" s="20" t="s">
        <v>395</v>
      </c>
      <c r="C3" s="20" t="s">
        <v>396</v>
      </c>
      <c r="D3" s="20" t="s">
        <v>397</v>
      </c>
      <c r="E3" s="20" t="s">
        <v>398</v>
      </c>
      <c r="F3" s="20" t="s">
        <v>399</v>
      </c>
      <c r="G3" s="20" t="s">
        <v>400</v>
      </c>
    </row>
    <row r="4" customFormat="false" ht="30" hidden="false" customHeight="true" outlineLevel="0" collapsed="false">
      <c r="A4" s="43" t="s">
        <v>401</v>
      </c>
      <c r="B4" s="43" t="s">
        <v>402</v>
      </c>
      <c r="C4" s="43" t="s">
        <v>403</v>
      </c>
      <c r="D4" s="43" t="s">
        <v>404</v>
      </c>
      <c r="E4" s="43" t="s">
        <v>405</v>
      </c>
      <c r="F4" s="44" t="s">
        <v>406</v>
      </c>
      <c r="G4" s="43" t="s">
        <v>407</v>
      </c>
    </row>
    <row r="5" customFormat="false" ht="30" hidden="false" customHeight="true" outlineLevel="0" collapsed="false">
      <c r="A5" s="11" t="s">
        <v>408</v>
      </c>
      <c r="B5" s="11" t="s">
        <v>409</v>
      </c>
      <c r="C5" s="11" t="s">
        <v>410</v>
      </c>
      <c r="D5" s="11" t="s">
        <v>404</v>
      </c>
      <c r="E5" s="11" t="s">
        <v>411</v>
      </c>
      <c r="F5" s="45" t="s">
        <v>412</v>
      </c>
      <c r="G5" s="11" t="s">
        <v>413</v>
      </c>
    </row>
    <row r="6" customFormat="false" ht="30" hidden="false" customHeight="true" outlineLevel="0" collapsed="false">
      <c r="A6" s="43" t="s">
        <v>408</v>
      </c>
      <c r="B6" s="43" t="s">
        <v>414</v>
      </c>
      <c r="C6" s="43" t="s">
        <v>415</v>
      </c>
      <c r="D6" s="43" t="s">
        <v>416</v>
      </c>
      <c r="E6" s="43" t="s">
        <v>417</v>
      </c>
      <c r="F6" s="44" t="s">
        <v>418</v>
      </c>
      <c r="G6" s="43" t="s">
        <v>419</v>
      </c>
    </row>
    <row r="7" customFormat="false" ht="30" hidden="false" customHeight="true" outlineLevel="0" collapsed="false">
      <c r="A7" s="11" t="s">
        <v>408</v>
      </c>
      <c r="B7" s="11" t="s">
        <v>420</v>
      </c>
      <c r="C7" s="11" t="s">
        <v>421</v>
      </c>
      <c r="D7" s="11" t="s">
        <v>404</v>
      </c>
      <c r="E7" s="11" t="s">
        <v>422</v>
      </c>
      <c r="F7" s="45" t="s">
        <v>423</v>
      </c>
      <c r="G7" s="11" t="s">
        <v>407</v>
      </c>
    </row>
    <row r="8" customFormat="false" ht="30" hidden="false" customHeight="true" outlineLevel="0" collapsed="false">
      <c r="A8" s="43" t="s">
        <v>424</v>
      </c>
      <c r="B8" s="43" t="s">
        <v>425</v>
      </c>
      <c r="C8" s="43" t="s">
        <v>426</v>
      </c>
      <c r="D8" s="43" t="s">
        <v>427</v>
      </c>
      <c r="E8" s="43" t="s">
        <v>428</v>
      </c>
      <c r="F8" s="44" t="s">
        <v>429</v>
      </c>
      <c r="G8" s="43" t="s">
        <v>430</v>
      </c>
    </row>
    <row r="9" customFormat="false" ht="30" hidden="false" customHeight="true" outlineLevel="0" collapsed="false">
      <c r="A9" s="11" t="s">
        <v>424</v>
      </c>
      <c r="B9" s="11" t="s">
        <v>431</v>
      </c>
      <c r="C9" s="11" t="s">
        <v>432</v>
      </c>
      <c r="D9" s="11" t="s">
        <v>427</v>
      </c>
      <c r="E9" s="11" t="s">
        <v>433</v>
      </c>
      <c r="F9" s="45" t="s">
        <v>434</v>
      </c>
      <c r="G9" s="11" t="s">
        <v>435</v>
      </c>
    </row>
    <row r="10" customFormat="false" ht="30" hidden="false" customHeight="true" outlineLevel="0" collapsed="false">
      <c r="A10" s="43" t="s">
        <v>436</v>
      </c>
      <c r="B10" s="43" t="s">
        <v>437</v>
      </c>
      <c r="C10" s="43" t="s">
        <v>438</v>
      </c>
      <c r="D10" s="43" t="s">
        <v>436</v>
      </c>
      <c r="E10" s="43" t="s">
        <v>439</v>
      </c>
      <c r="F10" s="44" t="s">
        <v>440</v>
      </c>
      <c r="G10" s="43" t="s">
        <v>441</v>
      </c>
    </row>
    <row r="11" customFormat="false" ht="30" hidden="false" customHeight="true" outlineLevel="0" collapsed="false">
      <c r="A11" s="11" t="s">
        <v>436</v>
      </c>
      <c r="B11" s="11" t="s">
        <v>442</v>
      </c>
      <c r="C11" s="11" t="s">
        <v>443</v>
      </c>
      <c r="D11" s="11" t="s">
        <v>436</v>
      </c>
      <c r="E11" s="11" t="s">
        <v>444</v>
      </c>
      <c r="F11" s="45" t="s">
        <v>445</v>
      </c>
      <c r="G11" s="11" t="s">
        <v>446</v>
      </c>
    </row>
    <row r="12" customFormat="false" ht="30" hidden="false" customHeight="true" outlineLevel="0" collapsed="false">
      <c r="A12" s="43" t="s">
        <v>436</v>
      </c>
      <c r="B12" s="43" t="s">
        <v>447</v>
      </c>
      <c r="C12" s="43" t="s">
        <v>448</v>
      </c>
      <c r="D12" s="43" t="s">
        <v>436</v>
      </c>
      <c r="E12" s="43" t="s">
        <v>449</v>
      </c>
      <c r="F12" s="44" t="s">
        <v>450</v>
      </c>
      <c r="G12" s="43" t="s">
        <v>451</v>
      </c>
    </row>
    <row r="13" customFormat="false" ht="30" hidden="false" customHeight="true" outlineLevel="0" collapsed="false">
      <c r="A13" s="11" t="s">
        <v>436</v>
      </c>
      <c r="B13" s="11" t="s">
        <v>452</v>
      </c>
      <c r="C13" s="11" t="s">
        <v>453</v>
      </c>
      <c r="D13" s="11" t="s">
        <v>436</v>
      </c>
      <c r="E13" s="11" t="s">
        <v>454</v>
      </c>
      <c r="F13" s="45" t="s">
        <v>455</v>
      </c>
      <c r="G13" s="11" t="s">
        <v>456</v>
      </c>
    </row>
    <row r="14" customFormat="false" ht="30" hidden="false" customHeight="true" outlineLevel="0" collapsed="false">
      <c r="A14" s="43" t="s">
        <v>436</v>
      </c>
      <c r="B14" s="43" t="s">
        <v>457</v>
      </c>
      <c r="C14" s="43" t="s">
        <v>28</v>
      </c>
      <c r="D14" s="43" t="s">
        <v>436</v>
      </c>
      <c r="E14" s="43" t="s">
        <v>458</v>
      </c>
      <c r="F14" s="44" t="s">
        <v>459</v>
      </c>
      <c r="G14" s="43" t="s">
        <v>407</v>
      </c>
    </row>
    <row r="15" customFormat="false" ht="30" hidden="false" customHeight="true" outlineLevel="0" collapsed="false">
      <c r="A15" s="11" t="s">
        <v>436</v>
      </c>
      <c r="B15" s="11" t="s">
        <v>29</v>
      </c>
      <c r="C15" s="11" t="s">
        <v>30</v>
      </c>
      <c r="D15" s="11" t="s">
        <v>436</v>
      </c>
      <c r="E15" s="11" t="s">
        <v>460</v>
      </c>
      <c r="F15" s="45" t="s">
        <v>461</v>
      </c>
      <c r="G15" s="11" t="s">
        <v>462</v>
      </c>
    </row>
    <row r="16" customFormat="false" ht="30" hidden="false" customHeight="true" outlineLevel="0" collapsed="false">
      <c r="A16" s="43" t="s">
        <v>463</v>
      </c>
      <c r="B16" s="43" t="s">
        <v>464</v>
      </c>
      <c r="C16" s="43" t="s">
        <v>465</v>
      </c>
      <c r="D16" s="43" t="s">
        <v>466</v>
      </c>
      <c r="E16" s="43" t="s">
        <v>467</v>
      </c>
      <c r="F16" s="44" t="s">
        <v>468</v>
      </c>
      <c r="G16" s="43" t="s">
        <v>469</v>
      </c>
    </row>
    <row r="17" customFormat="false" ht="30" hidden="false" customHeight="true" outlineLevel="0" collapsed="false">
      <c r="A17" s="11" t="s">
        <v>463</v>
      </c>
      <c r="B17" s="11" t="s">
        <v>470</v>
      </c>
      <c r="C17" s="11" t="s">
        <v>471</v>
      </c>
      <c r="D17" s="11" t="s">
        <v>404</v>
      </c>
      <c r="E17" s="11" t="s">
        <v>472</v>
      </c>
      <c r="F17" s="45" t="s">
        <v>473</v>
      </c>
      <c r="G17" s="11" t="s">
        <v>469</v>
      </c>
    </row>
  </sheetData>
  <mergeCells count="1">
    <mergeCell ref="A1:G1"/>
  </mergeCells>
  <hyperlinks>
    <hyperlink ref="F4" r:id="rId1" display="https://lawschooleduit.cloud.panopto.eu/Panopto/Pages/Viewer.aspx?id=d7e51539-f581-46c1-8651-b4030114e07b"/>
    <hyperlink ref="F5" r:id="rId2" display="https://www.centralbank.ie/regulation/anti-money-laundering-and-countering-the-financing-of-terrorism"/>
    <hyperlink ref="F6" r:id="rId3" display="https://www.amla.europa.eu/"/>
    <hyperlink ref="F7" r:id="rId4" display="https://www.garda.ie/en/about-us/organised-serious-crime/garda-national-economic-crime-bureau/"/>
    <hyperlink ref="F8" r:id="rId5" display="https://www.kaggle.com/datasets/ealaxi/paysim1"/>
    <hyperlink ref="F9" r:id="rId6" display="https://www.opensanctions.org/"/>
    <hyperlink ref="F10" r:id="rId7" display="https://www.postgresql.org/"/>
    <hyperlink ref="F11" r:id="rId8" display="https://pandas.pydata.org/"/>
    <hyperlink ref="F12" r:id="rId9" display="https://networkx.org/"/>
    <hyperlink ref="F13" r:id="rId10" display="https://scikit-learn.org/"/>
    <hyperlink ref="F14" r:id="rId11" display="https://www.microsoft.com/power-platform/products/power-bi"/>
    <hyperlink ref="F15" r:id="rId12" display="https://github.com/"/>
    <hyperlink ref="F16" r:id="rId13" display="https://www.acams.org/"/>
    <hyperlink ref="F17" r:id="rId14" display="https://www.acoi.i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2026-09-08T17:12:20Z</dcterms:created>
  <dc:creator>openpyxl</dc:creator>
  <dc:description/>
  <dc:language>en-US</dc:language>
  <cp:lastModifiedBy/>
  <dcterms:modified xsi:type="dcterms:W3CDTF">2026-09-08T17:12:20Z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